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ily Plan" sheetId="2" state="visible" r:id="rId4"/>
    <sheet name="Daily Log" sheetId="3" state="visible" r:id="rId5"/>
    <sheet name="Weekly Review" sheetId="4" state="visible" r:id="rId6"/>
    <sheet name="Week Plan" sheetId="5" state="visible" r:id="rId7"/>
    <sheet name="Strength" sheetId="6" state="visible" r:id="rId8"/>
    <sheet name="Swim Plan" sheetId="7" state="visible" r:id="rId9"/>
    <sheet name="Foods" sheetId="8" state="visible" r:id="rId10"/>
    <sheet name="Meal Plan" sheetId="9" state="visible" r:id="rId11"/>
    <sheet name="Nutrition" sheetId="10" state="visible" r:id="rId12"/>
    <sheet name="Race Plan" sheetId="11" state="visible" r:id="rId13"/>
  </sheets>
  <definedNames>
    <definedName function="false" hidden="true" localSheetId="1" name="_xlnm._FilterDatabase" vbProcedure="false">'Daily Plan'!$A$4:$O$147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9" authorId="0">
      <text>
        <r>
          <rPr>
            <sz val="10"/>
            <rFont val="Arial"/>
            <family val="2"/>
          </rPr>
          <t xml:space="preserve">5 km test week: enter your time in minutes, e.g. 47.5</t>
        </r>
      </text>
    </comment>
    <comment ref="U13" authorId="0">
      <text>
        <r>
          <rPr>
            <sz val="10"/>
            <rFont val="Arial"/>
            <family val="2"/>
          </rPr>
          <t xml:space="preserve">5 km test week: enter your time in minutes, e.g. 47.5</t>
        </r>
      </text>
    </comment>
    <comment ref="U16" authorId="0">
      <text>
        <r>
          <rPr>
            <sz val="10"/>
            <rFont val="Arial"/>
            <family val="2"/>
          </rPr>
          <t xml:space="preserve">5 km test week: enter your time in minutes, e.g. 47.5</t>
        </r>
      </text>
    </comment>
  </commentList>
</comments>
</file>

<file path=xl/sharedStrings.xml><?xml version="1.0" encoding="utf-8"?>
<sst xmlns="http://schemas.openxmlformats.org/spreadsheetml/2006/main" count="2436" uniqueCount="663">
  <si>
    <t xml:space="preserve">Kilimanjaro Half Marathon Plan — 29 Oct 2026 to 7 Feb 2027</t>
  </si>
  <si>
    <t xml:space="preserve">Yellow cells are yours to fill in. Everything else updates itself. Full explanations are in the plan document.</t>
  </si>
  <si>
    <t xml:space="preserve">Your numbers</t>
  </si>
  <si>
    <t xml:space="preserve">Start weight (kg)</t>
  </si>
  <si>
    <t xml:space="preserve">You, 29 Oct 2026</t>
  </si>
  <si>
    <t xml:space="preserve">Height (m)</t>
  </si>
  <si>
    <t xml:space="preserve">You</t>
  </si>
  <si>
    <t xml:space="preserve">Age</t>
  </si>
  <si>
    <t xml:space="preserve">You, earlier</t>
  </si>
  <si>
    <t xml:space="preserve">Activity factor before training</t>
  </si>
  <si>
    <t xml:space="preserve">Desk job (assumption)</t>
  </si>
  <si>
    <t xml:space="preserve">Race date</t>
  </si>
  <si>
    <t xml:space="preserve">Kilimanjaro Half Marathon, Moshi, 07:00 start</t>
  </si>
  <si>
    <t xml:space="preserve">Race cut-off (clock time)</t>
  </si>
  <si>
    <t xml:space="preserve">12:30</t>
  </si>
  <si>
    <t xml:space="preserve">Organiser's race info page</t>
  </si>
  <si>
    <t xml:space="preserve">Calculated</t>
  </si>
  <si>
    <t xml:space="preserve">BMI</t>
  </si>
  <si>
    <t xml:space="preserve">Screening number only; waist tells you more</t>
  </si>
  <si>
    <t xml:space="preserve">Resting energy, Mifflin–St Jeor (kcal)</t>
  </si>
  <si>
    <t xml:space="preserve">Starting estimate, about ±10%</t>
  </si>
  <si>
    <t xml:space="preserve">Needs before training (kcal)</t>
  </si>
  <si>
    <t xml:space="preserve">Training adds about 250–450 kcal a day</t>
  </si>
  <si>
    <t xml:space="preserve">Pace needed for 3:00 (min per km)</t>
  </si>
  <si>
    <t xml:space="preserve">A maths reference, not your current pace</t>
  </si>
  <si>
    <t xml:space="preserve">Today's projection from a 60-min 5 km</t>
  </si>
  <si>
    <t xml:space="preserve">Riegel × 1.08 for hills, heat, beginner</t>
  </si>
  <si>
    <t xml:space="preserve">Progress dashboard (updates from the Daily Plan, Daily Log and Weekly Review sheets)</t>
  </si>
  <si>
    <t xml:space="preserve">Days to race</t>
  </si>
  <si>
    <t xml:space="preserve">Latest 7-day average weight (kg)</t>
  </si>
  <si>
    <t xml:space="preserve">Change from start (kg)</t>
  </si>
  <si>
    <t xml:space="preserve">Sessions done</t>
  </si>
  <si>
    <t xml:space="preserve">Sessions planned (whole plan)</t>
  </si>
  <si>
    <t xml:space="preserve">Completion</t>
  </si>
  <si>
    <t xml:space="preserve">Longest run-walk logged (min)</t>
  </si>
  <si>
    <t xml:space="preserve">Longest continuous swim logged (m)</t>
  </si>
  <si>
    <t xml:space="preserve">Latest 5 km test (min)</t>
  </si>
  <si>
    <t xml:space="preserve">Race projection from latest test</t>
  </si>
  <si>
    <t xml:space="preserve">Suggested race plan</t>
  </si>
  <si>
    <t xml:space="preserve">This week's decision</t>
  </si>
  <si>
    <t xml:space="preserve">Phases</t>
  </si>
  <si>
    <t xml:space="preserve">Phase</t>
  </si>
  <si>
    <t xml:space="preserve">Weeks</t>
  </si>
  <si>
    <t xml:space="preserve">Dates</t>
  </si>
  <si>
    <t xml:space="preserve">Focus</t>
  </si>
  <si>
    <t xml:space="preserve">Foundation and movement adaptation</t>
  </si>
  <si>
    <t xml:space="preserve">0–4</t>
  </si>
  <si>
    <t xml:space="preserve">29 Oct–29 Nov</t>
  </si>
  <si>
    <t xml:space="preserve">Short run intervals, strength habits, first swims, first 5 km test</t>
  </si>
  <si>
    <t xml:space="preserve">Aerobic development</t>
  </si>
  <si>
    <t xml:space="preserve">5–8</t>
  </si>
  <si>
    <t xml:space="preserve">30 Nov–27 Dec</t>
  </si>
  <si>
    <t xml:space="preserve">Longer run intervals, strides, first hill walks, second test</t>
  </si>
  <si>
    <t xml:space="preserve">Race-specific endurance</t>
  </si>
  <si>
    <t xml:space="preserve">9–11</t>
  </si>
  <si>
    <t xml:space="preserve">28 Dec–17 Jan</t>
  </si>
  <si>
    <t xml:space="preserve">Steady blocks, hill repeats, long sessions to 2 hours, deciding test</t>
  </si>
  <si>
    <t xml:space="preserve">Peak</t>
  </si>
  <si>
    <t xml:space="preserve">12</t>
  </si>
  <si>
    <t xml:space="preserve">18–24 Jan</t>
  </si>
  <si>
    <t xml:space="preserve">2 h 30 min race rehearsal with race fuelling</t>
  </si>
  <si>
    <t xml:space="preserve">Taper and race</t>
  </si>
  <si>
    <t xml:space="preserve">13–14</t>
  </si>
  <si>
    <t xml:space="preserve">25 Jan–7 Feb</t>
  </si>
  <si>
    <t xml:space="preserve">Less volume, same rhythm, travel, race</t>
  </si>
  <si>
    <t xml:space="preserve">How to use this workbook</t>
  </si>
  <si>
    <t xml:space="preserve">Daily Plan</t>
  </si>
  <si>
    <t xml:space="preserve">Every session, 29 Oct–7 Feb, written out in full. After each one fill the yellow cells: Done (Yes, Partial, No), minutes, distance, RPE 1–10, notes.</t>
  </si>
  <si>
    <t xml:space="preserve">Example Daily Plan entry</t>
  </si>
  <si>
    <t xml:space="preserve">Done: Yes · Minutes: 32 · Distance: 3.1 · RPE: 4 · Notes: humid, extra walk break at 20 min</t>
  </si>
  <si>
    <t xml:space="preserve">Daily Log</t>
  </si>
  <si>
    <t xml:space="preserve">Every morning: weight, resting pulse, sleep, soreness, pain, energy, mood, motivation, nutrition and fasting scores. The 7-day average weight calculates itself.</t>
  </si>
  <si>
    <t xml:space="preserve">Example Daily Log entry</t>
  </si>
  <si>
    <t xml:space="preserve">Weight 86.6 · Pulse 64 · Sleep 7.0 h, quality 4 · Soreness 2 · Pain 0 · Energy 4 · Mood 4 · Motivation 4 · Nutrition 4</t>
  </si>
  <si>
    <t xml:space="preserve">Weekly Review</t>
  </si>
  <si>
    <t xml:space="preserve">Sunday evening: add waist, swim distance and any 5 km test. The Decision column turns green (progress), amber (repeat the week) or red (step back).</t>
  </si>
  <si>
    <t xml:space="preserve">Nutrition, Meal Plan, Foods</t>
  </si>
  <si>
    <t xml:space="preserve">Targets by day type, a 7-day meal plan whose totals are formulas from the Foods table. Change a quantity or a food and the totals update.</t>
  </si>
  <si>
    <t xml:space="preserve">Race Plan</t>
  </si>
  <si>
    <t xml:space="preserve">Pacing plans and checkpoints for each finish time, calculated from the climb and descent factors.</t>
  </si>
  <si>
    <t xml:space="preserve">Daily Plan — every session, 29 October 2026 to 7 February 2027</t>
  </si>
  <si>
    <t xml:space="preserve">Fill the yellow columns after each session. Done: Yes / Partial / No. Minutes = total time. Distance in km for runs, m for swims.</t>
  </si>
  <si>
    <t xml:space="preserve">Date</t>
  </si>
  <si>
    <t xml:space="preserve">Week</t>
  </si>
  <si>
    <t xml:space="preserve">Day</t>
  </si>
  <si>
    <t xml:space="preserve">Time</t>
  </si>
  <si>
    <t xml:space="preserve">Type</t>
  </si>
  <si>
    <t xml:space="preserve">Session</t>
  </si>
  <si>
    <t xml:space="preserve">Full details</t>
  </si>
  <si>
    <t xml:space="preserve">Planned</t>
  </si>
  <si>
    <t xml:space="preserve">Unit</t>
  </si>
  <si>
    <t xml:space="preserve">Done</t>
  </si>
  <si>
    <t xml:space="preserve">Minutes</t>
  </si>
  <si>
    <t xml:space="preserve">Distance</t>
  </si>
  <si>
    <t xml:space="preserve">RPE (1–10)</t>
  </si>
  <si>
    <t xml:space="preserve">Notes</t>
  </si>
  <si>
    <t xml:space="preserve">Thursday</t>
  </si>
  <si>
    <t xml:space="preserve">Foundation</t>
  </si>
  <si>
    <t xml:space="preserve">After iftar (about 20:15)</t>
  </si>
  <si>
    <t xml:space="preserve">Mobility</t>
  </si>
  <si>
    <t xml:space="preserve">FAST DAY — Easy walk 20 min + mobility</t>
  </si>
  <si>
    <t xml:space="preserve">Dry-fast day: NO exercise while fasting. 18:50 break the fast (500 ml water, 3 dates, soup), 19:20 main meal. About 20:15: easy walk 20 min (RPE 2, flat, conversational) then fast-day mobility 15 min: cat-cow 8, thread the needle 6 per side, 90/90 hip switches 10, couch stretch 45 s per side, calf stretch 45 s per leg, child's pose 60 s. Finish with 5 min slow breathing: in through the nose 4 s, out 6 s. Keep sipping water until bed. Skip the walk if you feel dizzy, have a headache or are very tired; do the mobility and breathing only.</t>
  </si>
  <si>
    <t xml:space="preserve">min</t>
  </si>
  <si>
    <t xml:space="preserve">Friday</t>
  </si>
  <si>
    <t xml:space="preserve">Morning</t>
  </si>
  <si>
    <t xml:space="preserve">Run</t>
  </si>
  <si>
    <t xml:space="preserve">Run-walk 30 min</t>
  </si>
  <si>
    <t xml:space="preserve">Purpose: build aerobic endurance and impact tolerance. Warm-up: 5 min brisk walk, then leg swings 10 per leg each way, walking lunges 8 per leg, ankle rocks 10 per side, 2 × 20 m easy skipping. Main: run 1 min / walk 2 min, repeated 7 times (about 21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30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</si>
  <si>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Saturday</t>
  </si>
  <si>
    <t xml:space="preserve">Long run-walk 40 min (≈ 3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</si>
  <si>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1 min / walk 2 min for 40 min, effort RPE 3–4 the whole way: the last 20 minutes should feel as easy as the first. Fuel: water before and after is enough.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</si>
  <si>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Sunday</t>
  </si>
  <si>
    <t xml:space="preserve">Evening</t>
  </si>
  <si>
    <t xml:space="preserve">Swim</t>
  </si>
  <si>
    <t xml:space="preserve">Swim — 100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</si>
  <si>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100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600 m. Optional session: skip it if the pool is unavailable or you feel run-down. Never swim alone where there is no lifeguard.</t>
  </si>
  <si>
    <t xml:space="preserve">m</t>
  </si>
  <si>
    <t xml:space="preserve">Any time</t>
  </si>
  <si>
    <t xml:space="preserve">Recovery walk + mobility</t>
  </si>
  <si>
    <t xml:space="preserve">Recovery after the long run: 20 min easy walk plus 10 min of the fast-day mobility routine. No extra training for calories.</t>
  </si>
  <si>
    <t xml:space="preserve">Monday</t>
  </si>
  <si>
    <t xml:space="preserve">Tuesday</t>
  </si>
  <si>
    <t xml:space="preserve">Strength</t>
  </si>
  <si>
    <t xml:space="preserve">Strength B — upper body, feet, balance</t>
  </si>
  <si>
    <t xml:space="preserve">Strength B — upper body, feet and balance (about 25 min). Warm-up 5 min: arm circles 10 each way, cat-cow 8, bodyweight squats 10, single-leg stands 20 s per leg. Then: 1) Push-up progression: wall → table (incline) → knees → full — 3 × 8–12. 2) Backpack bent-over row (5–10 kg of books or bottles) — 3 × 10–12. 3) Backpack overhead press, or pike push-up — 3 × 8–10. 4) Single-leg balance: 30 s per leg, then eyes closed, then on a folded towel — 3 rounds. 5) Slow single-leg calf lowering (up on two legs, down on one over 3 s) — 2 × 10 per leg. 6) Foot strength: towel scrunches 2 × 20 and tibialis raises (back to a wall, lift toes) 2 × 15. 7) Bird dog — 3 × 8 per side; front plank — 3 × 20–45 s. Finish: pelvic-floor block — 10 slow squeezes held 5 s in a deep squat hold. Effort RPE 6–7; legs stay fresh for Friday and Saturday. If sore or tired: do 1 set of each and skip anything that hurts. Pain above 3/10 that rises during a set: stop that exercise.</t>
  </si>
  <si>
    <t xml:space="preserve">Wednesday</t>
  </si>
  <si>
    <t xml:space="preserve">Afternoon</t>
  </si>
  <si>
    <t xml:space="preserve">Strength A — legs, hips, trunk</t>
  </si>
  <si>
    <t xml:space="preserve">Strength A — legs, hips and trunk (about 30 min). Warm-up 5 min: march on the spot 1 min, hip circles 10 each way, bodyweight squats 10, glute bridges 10, inchworms 5. Then: 1) Sit-to-stand from a chair, progressing to bodyweight squat then backpack squat — 3 × 8–12, rest 60–90 s. 2) Glute bridge, progressing to single-leg bridge — 3 × 10–12 (2-second squeeze at top). 3) Step-ups on a safe 20–30 cm step, or reverse lunges holding a wall — 3 × 8 per leg. 4) Hip hinge: hands-on-hips good morning, progressing to single-leg Romanian deadlift with a hand on a wall, then holding the backpack — 3 × 10 (per leg when single-leg). 5) Calf raises on a step edge: both legs, progressing to single-leg; 3-second lowering — 3 × 12–15. 6) Bent-knee calf raise (soleus) — 2 × 15. 7) Dead bug — 3 × 8 per side; side plank — 3 × 20–40 s per side. Finish: pelvic-floor block — glute bridge with a 5-second pelvic-floor squeeze, 10 reps. Effort: stop each set with 2–3 reps left (RPE 7). Never to failure. Cool-down: quad, hamstring and calf stretches 30–45 s each. If sore or tired: do 1 set of each and skip anything that hurts. Pain above 3/10 that rises during a set: stop that exercise.</t>
  </si>
  <si>
    <t xml:space="preserve">Swim — 8 × 50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</si>
  <si>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8 × 50 m freestyle at easy-to-steady effort (RPE 4–5), 40 s rest between. Cool-down: 50–100 m very easy backstroke or breaststroke, then shoulder and chest stretches 30 s each. Total about 700 m, 30–40 min. Optional session: skip it if the pool is unavailable or you feel run-down. Never swim alone where there is no lifeguard.</t>
  </si>
  <si>
    <t xml:space="preserve">Long run-walk 45 min (≈ 4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</si>
  <si>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1 min / walk 2 min for 45 min, effort RPE 3–4 the whole way: the last 20 minutes should feel as easy as the first. Fuel: water before and after is enough.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</si>
  <si>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Run-walk 35 min</t>
  </si>
  <si>
    <t xml:space="preserve">Purpose: build aerobic endurance and impact tolerance. Warm-up: 5 min brisk walk, then leg swings 10 per leg each way, walking lunges 8 per leg, ankle rocks 10 per side, 2 × 20 m easy skipping. Main: run 1 min / walk 1 min, repeated 12 times (about 24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35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</si>
  <si>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6 × 75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</si>
  <si>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6 × 75 m freestyle at easy-to-steady effort (RPE 4–5), 40 s rest between. Cool-down: 50–100 m very easy backstroke or breaststroke, then shoulder and chest stretches 30 s each. Total about 750 m, 30–40 min. Optional session: skip it if the pool is unavailable or you feel run-down. Never swim alone where there is no lifeguard.</t>
  </si>
  <si>
    <t xml:space="preserve">Purpose: build aerobic endurance and impact tolerance. Warm-up: 5 min brisk walk, then leg swings 10 per leg each way, walking lunges 8 per leg, ankle rocks 10 per side, 2 × 20 m easy skipping. Main: run 1 min / walk 1 min, repeated 10 times (about 20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30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</si>
  <si>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50 min (≈ 5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</si>
  <si>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1 min / walk 1 min for 50 min, effort RPE 3–4 the whole way: the last 20 minutes should feel as easy as the first. Fuel: water before and after is enough.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</si>
  <si>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125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</si>
  <si>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125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625 m. Optional session: skip it if the pool is unavailable or you feel run-down. Never swim alone where there is no lifeguard.</t>
  </si>
  <si>
    <t xml:space="preserve">Purpose: build aerobic endurance and impact tolerance. Warm-up: 5 min brisk walk, then leg swings 10 per leg each way, walking lunges 8 per leg, ankle rocks 10 per side, 2 × 20 m easy skipping. Main: run 2 min / walk 1 min, repeated 8 times (about 24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35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</si>
  <si>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5 × 100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</si>
  <si>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5 × 100 m freestyle at easy-to-steady effort (RPE 4–5), 40 s rest between. Cool-down: 50–100 m very easy backstroke or breaststroke, then shoulder and chest stretches 30 s each. Total about 800 m, 30–40 min. Optional session: skip it if the pool is unavailable or you feel run-down. Never swim alone where there is no lifeguard.</t>
  </si>
  <si>
    <t xml:space="preserve">Long run-walk 60 min (≈ 6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</si>
  <si>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2 min / walk 1 min for 60 min, effort RPE 3–4 the whole way: the last 20 minutes should feel as easy as the first. Fuel: water to thirst; carry 500 ml. Food during the session is optional at this length.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</si>
  <si>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150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</si>
  <si>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150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650 m. Optional session: skip it if the pool is unavailable or you feel run-down. Never swim alone where there is no lifeguard.</t>
  </si>
  <si>
    <t xml:space="preserve">Run-walk 25 min</t>
  </si>
  <si>
    <t xml:space="preserve">Purpose: build aerobic endurance and impact tolerance. Warm-up: 5 min brisk walk, then leg swings 10 per leg each way, walking lunges 8 per leg, ankle rocks 10 per side, 2 × 20 m easy skipping. Main: run 2 min / walk 1 min, repeated 5 times (about 15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25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</si>
  <si>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Strength B — upper body, feet and balance (about 25 min). Warm-up 5 min: arm circles 10 each way, cat-cow 8, bodyweight squats 10, single-leg stands 20 s per leg. Then: 1) Push-up progression: wall → table (incline) → knees → full — 2 × 8–12. 2) Backpack bent-over row (5–10 kg of books or bottles) — 2 × 10–12. 3) Backpack overhead press, or pike push-up — 2 × 8–10. 4) Single-leg balance: 30 s per leg, then eyes closed, then on a folded towel — 3 rounds. 5) Slow single-leg calf lowering (up on two legs, down on one over 3 s) — 2 × 10 per leg. 6) Foot strength: towel scrunches 2 × 20 and tibialis raises (back to a wall, lift toes) 2 × 15. 7) Bird dog — 2 × 8 per side; front plank — 2 × 20–45 s. Finish: pelvic-floor block — 10 slow squeezes held 5 s in a deep squat hold. Effort RPE 6–7; legs stay fresh for Friday and Saturday. If sore or tired: do 1 set of each and skip anything that hurts. Pain above 3/10 that rises during a set: stop that exercise.</t>
  </si>
  <si>
    <t xml:space="preserve">Strength A — legs, hips and trunk (about 30 min). Warm-up 5 min: march on the spot 1 min, hip circles 10 each way, bodyweight squats 10, glute bridges 10, inchworms 5. Then: 1) Sit-to-stand from a chair, progressing to bodyweight squat then backpack squat — 2 × 8–12, rest 60–90 s. 2) Glute bridge, progressing to single-leg bridge — 2 × 10–12 (2-second squeeze at top). 3) Step-ups on a safe 20–30 cm step, or reverse lunges holding a wall — 2 × 8 per leg. 4) Hip hinge: hands-on-hips good morning, progressing to single-leg Romanian deadlift with a hand on a wall, then holding the backpack — 2 × 10 (per leg when single-leg). 5) Calf raises on a step edge: both legs, progressing to single-leg; 3-second lowering — 2 × 12–15. 6) Bent-knee calf raise (soleus) — 2 × 15. 7) Dead bug — 2 × 8 per side; side plank — 2 × 20–40 s per side. Finish: pelvic-floor block — glute bridge with a 5-second pelvic-floor squeeze, 10 reps. Effort: stop each set with 2–3 reps left (RPE 7). Never to failure. Cool-down: quad, hamstring and calf stretches 30–45 s each. If sore or tired: do 1 set of each and skip anything that hurts. Pain above 3/10 that rises during a set: stop that exercise.</t>
  </si>
  <si>
    <t xml:space="preserve">Swim — 4 × 100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</si>
  <si>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4 × 100 m freestyle at easy-to-steady effort (RPE 4–5), 30 s rest between. Cool-down: 50–100 m very easy backstroke or breaststroke, then shoulder and chest stretches 30 s each. Total about 700 m, 30–40 min. Optional session: skip it if the pool is unavailable or you feel run-down. Never swim alone where there is no lifeguard.</t>
  </si>
  <si>
    <t xml:space="preserve">5 km test</t>
  </si>
  <si>
    <t xml:space="preserve">5 km test. Purpose: measure progress and choose your race plan (section 1 table). Warm-up: 5 min brisk walk, then leg swings 10 per leg each way, walking lunges 8 per leg, ankle rocks 10 per side, 2 × 20 m easy skipping. Then 5 min of your normal run-walk at easy effort. Test: 5 km on a flat, measured route (use a phone map or a known road). Use whatever run-walk mix gives your best time; start controlled and finish strongest. Effort RPE 7–8: only a few words possible. Record the time in the tracker. Cool-down: 5 min easy walk, then calf stretch 45 s per leg, standing quad stretch 45 s per leg, hamstring stretch 45 s per leg, figure-four glute stretch 45 s per side. Total about 50–60 min. If unwell, very tired or in pain: postpone the test by a week and run an easy session instead. Start before 06:30. Carry water. On hot, humid mornings, slow down rather than speed up.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</si>
  <si>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2 min / walk 1 min for 45 min, effort RPE 3–4 the whole way: the last 20 minutes should feel as easy as the first. Fuel: water before and after is enough.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</si>
  <si>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200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</si>
  <si>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200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700 m. Optional session: skip it if the pool is unavailable or you feel run-down. Never swim alone where there is no lifeguard.</t>
  </si>
  <si>
    <t xml:space="preserve">FAST DAY — Easy walk 30 min + mobility</t>
  </si>
  <si>
    <t xml:space="preserve">Dry-fast day: NO exercise while fasting. 18:50 break the fast (500 ml water, 3 dates, soup), 19:20 main meal. About 20:15: easy walk 30 min (RPE 2, flat, conversational) then fast-day mobility 15 min: cat-cow 8, thread the needle 6 per side, 90/90 hip switches 10, couch stretch 45 s per side, calf stretch 45 s per leg, child's pose 60 s. Finish with 5 min slow breathing: in through the nose 4 s, out 6 s. Keep sipping water until bed. Skip the walk if you feel dizzy, have a headache or are very tired; do the mobility and breathing only.</t>
  </si>
  <si>
    <t xml:space="preserve">Run-walk 40 min</t>
  </si>
  <si>
    <t xml:space="preserve">Purpose: build aerobic endurance and impact tolerance. Warm-up: 5 min brisk walk, then leg swings 10 per leg each way, walking lunges 8 per leg, ankle rocks 10 per side, 2 × 20 m easy skipping. Main: run 3 min / walk 1 min, repeated 8 times (about 32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40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</si>
  <si>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4 × 150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</si>
  <si>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4 × 150 m freestyle at easy-to-steady effort (RPE 4–5), 45 s rest between. Cool-down: 50–100 m very easy backstroke or breaststroke, then shoulder and chest stretches 30 s each. Total about 900 m, 30–40 min. Optional session: skip it if the pool is unavailable or you feel run-down. Never swim alone where there is no lifeguard.</t>
  </si>
  <si>
    <t xml:space="preserve">Run-walk 35 min + 4 strides</t>
  </si>
  <si>
    <t xml:space="preserve">Purpose: build aerobic endurance and impact tolerance. Warm-up: 5 min brisk walk, then leg swings 10 per leg each way, walking lunges 8 per leg, ankle rocks 10 per side, 2 × 20 m easy skipping. Main: run 3 min / walk 1 min, repeated 6 times (about 24 min). Intensity: easy, RPE 3–4 out of 10. You can talk in full sentences. If you cannot, walk more. Running form: short quick steps, tall posture, relaxed shoulders. After the main set: 4 strides of 15–20 s (relaxed, quick, NOT a sprint, RPE 6), each followed by 60–90 s walking. Cool-down: 5 min easy walk, then calf stretch 45 s per leg, standing quad stretch 45 s per leg, hamstring stretch 45 s per leg, figure-four glute stretch 45 s per side. Total about 35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</si>
  <si>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70 min (≈ 7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</si>
  <si>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3 min / walk 1 min for 70 min, effort RPE 3–4 the whole way: the last 20 minutes should feel as easy as the first. Fuel: water to thirst; carry 500 ml. Food during the session is optional at this length.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</si>
  <si>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250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</si>
  <si>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250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750 m. Optional session: skip it if the pool is unavailable or you feel run-down. Never swim alone where there is no lifeguard.</t>
  </si>
  <si>
    <t xml:space="preserve">Purpose: build aerobic endurance and impact tolerance. Warm-up: 5 min brisk walk, then leg swings 10 per leg each way, walking lunges 8 per leg, ankle rocks 10 per side, 2 × 20 m easy skipping. Main: run 4 min / walk 1 min, repeated 6 times (about 30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40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</si>
  <si>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3 × 200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</si>
  <si>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3 × 200 m freestyle at easy-to-steady effort (RPE 4–5), 45 s rest between. Cool-down: 50–100 m very easy backstroke or breaststroke, then shoulder and chest stretches 30 s each. Total about 900 m, 30–40 min. Optional session: skip it if the pool is unavailable or you feel run-down. Never swim alone where there is no lifeguard.</t>
  </si>
  <si>
    <t xml:space="preserve">Run-walk 40 min + 6 strides</t>
  </si>
  <si>
    <t xml:space="preserve">Purpose: build aerobic endurance and impact tolerance. Warm-up: 5 min brisk walk, then leg swings 10 per leg each way, walking lunges 8 per leg, ankle rocks 10 per side, 2 × 20 m easy skipping. Main: run 4 min / walk 1 min, repeated 6 times (about 30 min). Intensity: easy, RPE 3–4 out of 10. You can talk in full sentences. If you cannot, walk more. Running form: short quick steps, tall posture, relaxed shoulders. After the main set: 6 strides of 15–20 s (relaxed, quick, NOT a sprint, RPE 6), each followed by 60–90 s walking. Cool-down: 5 min easy walk, then calf stretch 45 s per leg, standing quad stretch 45 s per leg, hamstring stretch 45 s per leg, figure-four glute stretch 45 s per side. Total about 40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</si>
  <si>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80 min (≈ 8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</si>
  <si>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4 min / walk 1 min for 80 min, effort RPE 3–4 the whole way: the last 20 minutes should feel as easy as the first. Fuel: water to thirst; carry 500 ml. Food during the session is optional at this length.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</si>
  <si>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300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</si>
  <si>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300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800 m. Optional session: skip it if the pool is unavailable or you feel run-down. Never swim alone where there is no lifeguard.</t>
  </si>
  <si>
    <t xml:space="preserve">Run-walk 45 min</t>
  </si>
  <si>
    <t xml:space="preserve">Purpose: build aerobic endurance and impact tolerance. Warm-up: 5 min brisk walk, then leg swings 10 per leg each way, walking lunges 8 per leg, ankle rocks 10 per side, 2 × 20 m easy skipping. Main: run 4 min / walk 1 min, repeated 7 times (about 35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45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</si>
  <si>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4 × 200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</si>
  <si>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4 × 200 m freestyle at easy-to-steady effort (RPE 4–5), 40 s rest between. Cool-down: 50–100 m very easy backstroke or breaststroke, then shoulder and chest stretches 30 s each. Total about 1100 m, 30–40 min. Optional session: skip it if the pool is unavailable or you feel run-down. Never swim alone where there is no lifeguard.</t>
  </si>
  <si>
    <t xml:space="preserve">Run-walk 40 min with hill walks</t>
  </si>
  <si>
    <t xml:space="preserve">Purpose: build aerobic endurance and impact tolerance. Warm-up: 5 min brisk walk, then leg swings 10 per leg each way, walking lunges 8 per leg, ankle rocks 10 per side, 2 × 20 m easy skipping. Main: run 4 min / walk 1 min, repeated 6 times (about 30 min). Intensity: easy, RPE 3–4 out of 10. You can talk in full sentences. If you cannot, walk more. Running form: short quick steps, tall posture, relaxed shoulders. In the middle of the session, on a gentle slope (a road, bridge or ramp): 6 × 60 s brisk uphill walk with strong arm swing (RPE 5–6), walk back down to recover. Purpose: prepare for the 8 km race climb. Cool-down: 5 min easy walk, then calf stretch 45 s per leg, standing quad stretch 45 s per leg, hamstring stretch 45 s per leg, figure-four glute stretch 45 s per side. Total about 40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</si>
  <si>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90 min (≈ 9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</si>
  <si>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4 min / walk 1 min for 90 min, effort RPE 3–4 the whole way: the last 20 minutes should feel as easy as the first. Fuel: water to thirst (carry 500–750 ml); from 45 min, 2 dates or half a banana every 25–30 min (about 30 g carbohydrate per hour), more in later weeks if your stomach copes. Weigh yourself before and after to learn your sweat loss.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</si>
  <si>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350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</si>
  <si>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350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850 m. Optional session: skip it if the pool is unavailable or you feel run-down. Never swim alone where there is no lifeguard.</t>
  </si>
  <si>
    <t xml:space="preserve">Purpose: build aerobic endurance and impact tolerance. Warm-up: 5 min brisk walk, then leg swings 10 per leg each way, walking lunges 8 per leg, ankle rocks 10 per side, 2 × 20 m easy skipping. Main: run 5 min / walk 1 min, repeated 4 times (about 24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35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</si>
  <si>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3 × 200 m freestyle at easy-to-steady effort (RPE 4–5), 40 s rest between. Cool-down: 50–100 m very easy backstroke or breaststroke, then shoulder and chest stretches 30 s each. Total about 900 m, 30–40 min. Optional session: skip it if the pool is unavailable or you feel run-down. Never swim alone where there is no lifeguard.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</si>
  <si>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5 min / walk 1 min for 70 min, effort RPE 3–4 the whole way: the last 20 minutes should feel as easy as the first. Fuel: water to thirst; carry 500 ml. Food during the session is optional at this length.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</si>
  <si>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400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</si>
  <si>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400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900 m. Optional session: skip it if the pool is unavailable or you feel run-down. Never swim alone where there is no lifeguard.</t>
  </si>
  <si>
    <t xml:space="preserve">Purpose: build aerobic endurance and impact tolerance. Warm-up: 5 min brisk walk, then leg swings 10 per leg each way, walking lunges 8 per leg, ankle rocks 10 per side, 2 × 20 m easy skipping. Main: run 5 min / walk 1 min, repeated 6 times (about 36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45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</si>
  <si>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3 × 250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</si>
  <si>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3 × 250 m freestyle at easy-to-steady effort (RPE 4–5), 45 s rest between. Cool-down: 50–100 m very easy backstroke or breaststroke, then shoulder and chest stretches 30 s each. Total about 1050 m, 30–40 min. Optional session: skip it if the pool is unavailable or you feel run-down. Never swim alone where there is no lifeguard.</t>
  </si>
  <si>
    <t xml:space="preserve">Steady run 45 min (3 × 5 min)</t>
  </si>
  <si>
    <t xml:space="preserve">Purpose: build aerobic endurance and impact tolerance. Warm-up: 5 min brisk walk, then leg swings 10 per leg each way, walking lunges 8 per leg, ankle rocks 10 per side, 2 × 20 m easy skipping. Main: 10 min easy run-walk, then 3 × 5 min steady running (RPE 5–6: short sentences only) with 2 min walking between, then easy run-walk to fill the time. Steady is a little faster than easy, never a race. Cool-down: 5 min easy walk, then calf stretch 45 s per leg, standing quad stretch 45 s per leg, hamstring stretch 45 s per leg, figure-four glute stretch 45 s per side. Total about 45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</si>
  <si>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105 min (≈ 11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</si>
  <si>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5 min / walk 1 min for 105 min, effort RPE 3–4 the whole way: the last 20 minutes should feel as easy as the first. Fuel: water to thirst (carry 500–750 ml); from 45 min, 2 dates or half a banana every 25–30 min (about 30 g carbohydrate per hour), more in later weeks if your stomach copes. Weigh yourself before and after to learn your sweat loss. Choose a route with some uphill in the first half, like the race; walk every steep part.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</si>
  <si>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450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</si>
  <si>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450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950 m. Optional session: skip it if the pool is unavailable or you feel run-down. Never swim alone where there is no lifeguard.</t>
  </si>
  <si>
    <t xml:space="preserve">Run-walk 50 min</t>
  </si>
  <si>
    <t xml:space="preserve">Purpose: build aerobic endurance and impact tolerance. Warm-up: 5 min brisk walk, then leg swings 10 per leg each way, walking lunges 8 per leg, ankle rocks 10 per side, 2 × 20 m easy skipping. Main: run 6 min / walk 1 min, repeated 6 times (about 42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50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</si>
  <si>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2 × 400 m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</si>
  <si>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2 × 400 m freestyle at easy-to-steady effort (RPE 4–5), 60 s rest between. Cool-down: 50–100 m very easy backstroke or breaststroke, then shoulder and chest stretches 30 s each. Total about 1100 m, 30–40 min. Optional session: skip it if the pool is unavailable or you feel run-down. Never swim alone where there is no lifeguard.</t>
  </si>
  <si>
    <t xml:space="preserve">Hill repeats 45 min (8 × 60–90 s)</t>
  </si>
  <si>
    <t xml:space="preserve">Purpose: build aerobic endurance and impact tolerance. Warm-up: 5 min brisk walk, then leg swings 10 per leg each way, walking lunges 8 per leg, ankle rocks 10 per side, 2 × 20 m easy skipping. Main: 10 min easy run-walk to a gentle hill, then 8 × 60–90 s uphill: jog if you can at RPE 6, otherwise a powerful walk; walk down slowly to recover (2–3 min). Then easy run-walk home. Purpose: strength and confidence for the first 8 km of the race (290 m of climbing). Cool-down: 5 min easy walk, then calf stretch 45 s per leg, standing quad stretch 45 s per leg, hamstring stretch 45 s per leg, figure-four glute stretch 45 s per side. Total about 45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</si>
  <si>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120 min (≈ 12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</si>
  <si>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6 min / walk 1 min for 120 min, effort RPE 3–4 the whole way: the last 20 minutes should feel as easy as the first. Fuel: water to thirst (carry 500–750 ml); from 45 min, 2 dates or half a banana every 25–30 min (about 30 g carbohydrate per hour), more in later weeks if your stomach copes. Weigh yourself before and after to learn your sweat loss. Choose a route with some uphill in the first half, like the race; walk every steep part.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</si>
  <si>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500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</si>
  <si>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500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1000 m. Optional session: skip it if the pool is unavailable or you feel run-down. Never swim alone where there is no lifeguard.</t>
  </si>
  <si>
    <t xml:space="preserve">Run-walk 40 min + 4 strides</t>
  </si>
  <si>
    <t xml:space="preserve">Purpose: build aerobic endurance and impact tolerance. Warm-up: 5 min brisk walk, then leg swings 10 per leg each way, walking lunges 8 per leg, ankle rocks 10 per side, 2 × 20 m easy skipping. Main: run 6 min / walk 1 min, repeated 4 times (about 28 min). Intensity: easy, RPE 3–4 out of 10. You can talk in full sentences. If you cannot, walk more. Running form: short quick steps, tall posture, relaxed shoulders. After the main set: 4 strides of 15–20 s (relaxed, quick, NOT a sprint, RPE 6), each followed by 60–90 s walking. Cool-down: 5 min easy walk, then calf stretch 45 s per leg, standing quad stretch 45 s per leg, hamstring stretch 45 s per leg, figure-four glute stretch 45 s per side. Total about 40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</si>
  <si>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6 min / walk 1 min for 90 min, effort RPE 3–4 the whole way: the last 20 minutes should feel as easy as the first. Fuel: water to thirst (carry 500–750 ml); from 45 min, 2 dates or half a banana every 25–30 min (about 30 g carbohydrate per hour), more in later weeks if your stomach copes. Weigh yourself before and after to learn your sweat loss. Choose a route with some uphill in the first half, like the race; walk every steep part.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</si>
  <si>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600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</si>
  <si>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600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1100 m. Optional session: skip it if the pool is unavailable or you feel run-down. Never swim alone where there is no lifeguard.</t>
  </si>
  <si>
    <t xml:space="preserve">Purpose: build aerobic endurance and impact tolerance. Warm-up: 5 min brisk walk, then leg swings 10 per leg each way, walking lunges 8 per leg, ankle rocks 10 per side, 2 × 20 m easy skipping. Main: run 8 min / walk 1 min, repeated 4 times (about 36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50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</si>
  <si>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Race-effort run 45 min (3 × 8 min)</t>
  </si>
  <si>
    <t xml:space="preserve">Purpose: build aerobic endurance and impact tolerance. Warm-up: 5 min brisk walk, then leg swings 10 per leg each way, walking lunges 8 per leg, ankle rocks 10 per side, 2 × 20 m easy skipping. Main: 10 min easy run-walk, then 3 × 8 min at planned race effort (RPE 5–6, using your race run-walk ratio) with 2 min easy walking between, then easy to finish. Practise the race drink and one date. Cool-down: 5 min easy walk, then calf stretch 45 s per leg, standing quad stretch 45 s per leg, hamstring stretch 45 s per leg, figure-four glute stretch 45 s per side. Total about 45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</si>
  <si>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150 min (≈ 16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</si>
  <si>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8 min / walk 1 min for 150 min, effort RPE 3–4 the whole way: the last 20 minutes should feel as easy as the first. Fuel: water to thirst (carry 500–750 ml); from 45 min, 2 dates or half a banana every 25–30 min (about 30 g carbohydrate per hour), more in later weeks if your stomach copes. Weigh yourself before and after to learn your sweat loss. Choose a route with some uphill in the first half, like the race; walk every steep part. This is your race rehearsal: same breakfast, shoes, clothes, run-walk ratio and fuel as race day.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</si>
  <si>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Taper</t>
  </si>
  <si>
    <t xml:space="preserve">Purpose: build aerobic endurance and impact tolerance. Warm-up: 5 min brisk walk, then leg swings 10 per leg each way, walking lunges 8 per leg, ankle rocks 10 per side, 2 × 20 m easy skipping. Main: run 8 min / walk 1 min, repeated 4 times (about 36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45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</si>
  <si>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Strength A — light (2 sets)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</si>
  <si>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4 × 150 m freestyle at easy-to-steady effort (RPE 4–5), 40 s rest between. Cool-down: 50–100 m very easy backstroke or breaststroke, then shoulder and chest stretches 30 s each. Total about 900 m, 30–40 min. Optional session: skip it if the pool is unavailable or you feel run-down. Never swim alone where there is no lifeguard.</t>
  </si>
  <si>
    <t xml:space="preserve">Race-effort run 40 min (2 × 8 min)</t>
  </si>
  <si>
    <t xml:space="preserve">Purpose: build aerobic endurance and impact tolerance. Warm-up: 5 min brisk walk, then leg swings 10 per leg each way, walking lunges 8 per leg, ankle rocks 10 per side, 2 × 20 m easy skipping. Main: 10 min easy, then 2 × 8 min at race effort (RPE 5–6) with 2 min walking, then easy to finish. Cool-down: 5 min easy walk, then calf stretch 45 s per leg, standing quad stretch 45 s per leg, hamstring stretch 45 s per leg, figure-four glute stretch 45 s per side. Total about 40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</si>
  <si>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Long run-walk 90 min (≈ 10 km)</t>
  </si>
  <si>
    <t xml:space="preserve">Purpose: build the endurance to cover 21.1 km. Start at first light (about 05:45). Warm-up: 5 min brisk walk, then leg swings 10 per leg each way, walking lunges 8 per leg, ankle rocks 10 per side, 2 × 20 m easy skipping. Main: run 8 min / walk 1 min for 90 min, effort RPE 3–4 the whole way: the last 20 minutes should feel as easy as the first. Fuel: water to thirst (carry 500–750 ml); from 45 min, 2 dates or half a banana every 25–30 min (about 30 g carbohydrate per hour), more in later weeks if your stomach copes. Weigh yourself before and after to learn your sweat loss. Choose a route with some uphill in the first half, like the race; walk every steep part. Cool-down: 5 min easy walk, then calf stretch 45 s per leg, standing quad stretch 45 s per leg, hamstring stretch 45 s per leg, figure-four glute stretch 45 s per side. Progress next week only if you finished with no pain and felt recovered within 24 hours; otherwise repeat this week's length.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</si>
  <si>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Swim — 700 m continuous (easy)</t>
  </si>
  <si>
    <t xml:space="preserve">Purpose: recovery from the long run and longer continuous swimming. Warm-up: 4 × 25 m easy (any stroke), 20–30 s rest at the wall. Drills: 4 × 25 m — side kick with one arm forward, catch-up freestyle, fingertip drag, six-kick switch (rest 20–30 s each). Breathe out steadily under water; roll to breathe. Main: 700 m continuous, very easy (RPE 3–4): stop and rest 20–30 s if you must, then finish the distance; record the longest distance you swam without stopping. Then 4 × 50 m relaxed with 30 s rest. Cool-down: 50–100 m very easy backstroke or breaststroke, then shoulder and chest stretches 30 s each. Total about 1200 m. Optional session: skip it if the pool is unavailable or you feel run-down. Never swim alone where there is no lifeguard.</t>
  </si>
  <si>
    <t xml:space="preserve">Race week</t>
  </si>
  <si>
    <t xml:space="preserve">Run-walk 30 min + 4 × 1 min race effort</t>
  </si>
  <si>
    <t xml:space="preserve">Purpose: build aerobic endurance and impact tolerance. Warm-up: 5 min brisk walk, then leg swings 10 per leg each way, walking lunges 8 per leg, ankle rocks 10 per side, 2 × 20 m easy skipping. Main: easy run-walk, with 4 × 1 min at race effort in the middle (2 min walk between). Base: run 8 min / walk 1 min, repeated 2 times (about 18 min). Intensity: easy, RPE 3–4 out of 10. You can talk in full sentences. If you cannot, walk more. Running form: short quick steps, tall posture, relaxed shoulders. Cool-down: 5 min easy walk, then calf stretch 45 s per leg, standing quad stretch 45 s per leg, hamstring stretch 45 s per leg, figure-four glute stretch 45 s per side. Total about 30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</si>
  <si>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Strength B — light (upper body and balance only)</t>
  </si>
  <si>
    <t xml:space="preserve">Strength B — upper body, feet and balance (about 25 min). Warm-up 5 min: arm circles 10 each way, cat-cow 8, bodyweight squats 10, single-leg stands 20 s per leg. Then: 1) Push-up progression: wall → table (incline) → knees → full — 1 × 8–12. 2) Backpack bent-over row (5–10 kg of books or bottles) — 1 × 10–12. 3) Backpack overhead press, or pike push-up — 1 × 8–10. 4) Single-leg balance: 30 s per leg, then eyes closed, then on a folded towel — 3 rounds. 5) Slow single-leg calf lowering (up on two legs, down on one over 3 s) — 2 × 10 per leg. 6) Foot strength: towel scrunches 2 × 20 and tibialis raises (back to a wall, lift toes) 2 × 15. 7) Bird dog — 1 × 8 per side; front plank — 1 × 20–45 s. Finish: pelvic-floor block — 10 slow squeezes held 5 s in a deep squat hold. Effort RPE 6–7; legs stay fresh for Friday and Saturday. Race week: one set each, upper body and balance only.</t>
  </si>
  <si>
    <t xml:space="preserve">Mobility 20 min (race week)</t>
  </si>
  <si>
    <t xml:space="preserve">Race week: no leg strength. 20 min of the fast-day mobility routine plus the pre-run warm-up drills. Sleep early.</t>
  </si>
  <si>
    <t xml:space="preserve">Swim — 6 × 50 m easy repeats</t>
  </si>
  <si>
    <t xml:space="preserve">Purpose: low-impact aerobic fitness and relaxed breathing. Warm-up: 4 × 25 m easy (any stroke), 20–30 s rest at the wall. Drills: 4 × 25 m — side kick with one arm forward, catch-up freestyle, fingertip drag, six-kick switch (rest 20–30 s each). Breathe out steadily under water; roll to breathe. Main: 6 × 50 m easy freestyle at easy-to-steady effort (RPE 4–5), 30 s rest between. Cool-down: 50–100 m very easy backstroke or breaststroke, then shoulder and chest stretches 30 s each. Total about 600 m, 30–40 min. Optional session: skip it if the pool is unavailable or you feel run-down. Never swim alone where there is no lifeguard.</t>
  </si>
  <si>
    <t xml:space="preserve">Shake-out run 20 min</t>
  </si>
  <si>
    <t xml:space="preserve">Purpose: build aerobic endurance and impact tolerance. Warm-up: 5 min brisk walk, then leg swings 10 per leg each way, walking lunges 8 per leg, ankle rocks 10 per side, 2 × 20 m easy skipping. Main: 15 min very easy run-walk (RPE 2–3) plus 4 × 15 s relaxed strides. Legs should feel springy, not tired. Keep it short even if you feel great. Cool-down: 5 min easy walk, then calf stretch 45 s per leg, standing quad stretch 45 s per leg, hamstring stretch 45 s per leg, figure-four glute stretch 45 s per side. Total about 20 min. If unusually tired, sore, dizzy or you slept under 6 hours: do the same time as brisk walking only, or swap for 20–30 min walking. Pain that changes your stride: stop and walk home. Start before 06:30. Carry water. On hot, humid mornings, slow down rather than speed up.</t>
  </si>
  <si>
    <t xml:space="preserve">Rest</t>
  </si>
  <si>
    <t xml:space="preserve">Rest + travel to Moshi</t>
  </si>
  <si>
    <t xml:space="preserve">Day before the race: rest. 10–15 min easy walk to loosen up. Collect your race number. Carbohydrate-rich, low-fibre meals (section 15). Lay out kit, set two alarms, bed by 21:00.</t>
  </si>
  <si>
    <t xml:space="preserve">RACE — Kilimanjaro Half Marathon 21.1 km</t>
  </si>
  <si>
    <t xml:space="preserve">Race day: start 07:00 at MoCU Gate, Sokoine Road, Moshi; cut-off 12:30. Follow the race plan in section 15: breakfast at about 04:00, start slower than feels right, walk the steep parts of the 8 km climb, carbohydrate every 20–25 min, drink to thirst at every water point. Enjoy it.</t>
  </si>
  <si>
    <t xml:space="preserve">km</t>
  </si>
  <si>
    <t xml:space="preserve">Daily Log — two minutes every morning</t>
  </si>
  <si>
    <t xml:space="preserve">Weight after the toilet, before food or drink. Scores: soreness and pain 0–10; others 1–5 (5 = best). Fasting tolerance only on Mon and Thu.</t>
  </si>
  <si>
    <t xml:space="preserve">Fast day</t>
  </si>
  <si>
    <t xml:space="preserve">Weight (kg)</t>
  </si>
  <si>
    <t xml:space="preserve">7-day avg (kg)</t>
  </si>
  <si>
    <t xml:space="preserve">Resting pulse</t>
  </si>
  <si>
    <t xml:space="preserve">Sleep (h)</t>
  </si>
  <si>
    <t xml:space="preserve">Sleep quality 1–5</t>
  </si>
  <si>
    <t xml:space="preserve">Soreness 0–10</t>
  </si>
  <si>
    <t xml:space="preserve">Pain 0–10</t>
  </si>
  <si>
    <t xml:space="preserve">Pain where</t>
  </si>
  <si>
    <t xml:space="preserve">Energy 1–5</t>
  </si>
  <si>
    <t xml:space="preserve">Mood 1–5</t>
  </si>
  <si>
    <t xml:space="preserve">Motivation 1–5</t>
  </si>
  <si>
    <t xml:space="preserve">Nutrition 1–5</t>
  </si>
  <si>
    <t xml:space="preserve">Fasting tolerance 1–5</t>
  </si>
  <si>
    <t xml:space="preserve">Warning signs (Yes/No)</t>
  </si>
  <si>
    <t xml:space="preserve">Yes</t>
  </si>
  <si>
    <t xml:space="preserve">—</t>
  </si>
  <si>
    <t xml:space="preserve">Weekly Review — the Sunday decision</t>
  </si>
  <si>
    <t xml:space="preserve">Fill waist, swim and any 5 km test (yellow). Decision: Green = progress, Amber = repeat the week, Red = step back (plan section 14).</t>
  </si>
  <si>
    <t xml:space="preserve">Starts</t>
  </si>
  <si>
    <t xml:space="preserve">Sessions planned</t>
  </si>
  <si>
    <t xml:space="preserve">Run min planned</t>
  </si>
  <si>
    <t xml:space="preserve">Run min done</t>
  </si>
  <si>
    <t xml:space="preserve">Long session planned (min)</t>
  </si>
  <si>
    <t xml:space="preserve">Long session done (min)</t>
  </si>
  <si>
    <t xml:space="preserve">Avg run RPE</t>
  </si>
  <si>
    <t xml:space="preserve">Avg sleep (h)</t>
  </si>
  <si>
    <t xml:space="preserve">Avg sleep quality</t>
  </si>
  <si>
    <t xml:space="preserve">Max pain</t>
  </si>
  <si>
    <t xml:space="preserve">Avg energy</t>
  </si>
  <si>
    <t xml:space="preserve">Avg mood</t>
  </si>
  <si>
    <t xml:space="preserve">Avg weight (kg)</t>
  </si>
  <si>
    <t xml:space="preserve">Change (kg)</t>
  </si>
  <si>
    <t xml:space="preserve">Waist (cm)</t>
  </si>
  <si>
    <t xml:space="preserve">Swim continuous (m)</t>
  </si>
  <si>
    <t xml:space="preserve">5 km test (min)</t>
  </si>
  <si>
    <t xml:space="preserve">Decision</t>
  </si>
  <si>
    <t xml:space="preserve">Decision rules: Red if max pain ≥ 4, completion &lt; 60% or sleep &lt; 6 h. Amber if completion &lt; 85%, run RPE ≥ 5, pain 3, sleep &lt; 6.5 h, or energy or mood &lt; 3. Otherwise Green. Read the pattern, not one number.</t>
  </si>
  <si>
    <t xml:space="preserve">Fourteen-week overview</t>
  </si>
  <si>
    <t xml:space="preserve">Run time includes walking intervals. 1:2 = run 1 min, walk 2 min.</t>
  </si>
  <si>
    <t xml:space="preserve">Run:walk</t>
  </si>
  <si>
    <t xml:space="preserve">Tue (min)</t>
  </si>
  <si>
    <t xml:space="preserve">Fri (min)</t>
  </si>
  <si>
    <t xml:space="preserve">Sat long (min)</t>
  </si>
  <si>
    <t xml:space="preserve">Run time (min)</t>
  </si>
  <si>
    <t xml:space="preserve">Longest (≈ km)</t>
  </si>
  <si>
    <t xml:space="preserve">Swims (optional)</t>
  </si>
  <si>
    <t xml:space="preserve">Objective</t>
  </si>
  <si>
    <t xml:space="preserve">1:2</t>
  </si>
  <si>
    <t xml:space="preserve">100 m continuous</t>
  </si>
  <si>
    <t xml:space="preserve">Start the habit: first run-walks, first swim, learn the routines.</t>
  </si>
  <si>
    <t xml:space="preserve">8 × 50 m; 100 m continuous</t>
  </si>
  <si>
    <t xml:space="preserve">Get the legs used to regular impact with short run intervals.</t>
  </si>
  <si>
    <t xml:space="preserve">1:1</t>
  </si>
  <si>
    <t xml:space="preserve">6 × 75 m; 125 m continuous</t>
  </si>
  <si>
    <t xml:space="preserve">Run 1 minute, walk 1 minute; long session to 50 minutes.</t>
  </si>
  <si>
    <t xml:space="preserve">2:1</t>
  </si>
  <si>
    <t xml:space="preserve">5 × 100 m; 150 m continuous</t>
  </si>
  <si>
    <t xml:space="preserve">Double the run intervals to 2 minutes; first 60-minute session.</t>
  </si>
  <si>
    <t xml:space="preserve">4 × 100 m; 200 m continuous</t>
  </si>
  <si>
    <t xml:space="preserve">Easier week and the first 5 km test. Cutback week: about 15% less running, strength at 2 sets.</t>
  </si>
  <si>
    <t xml:space="preserve">3:1</t>
  </si>
  <si>
    <t xml:space="preserve">4 × 150 m; 250 m continuous</t>
  </si>
  <si>
    <t xml:space="preserve">Run 3 minutes at a time; first relaxed strides.</t>
  </si>
  <si>
    <t xml:space="preserve">4:1</t>
  </si>
  <si>
    <t xml:space="preserve">3 × 200 m; 300 m continuous</t>
  </si>
  <si>
    <t xml:space="preserve">Run 4 minutes at a time; long session to 80 minutes.</t>
  </si>
  <si>
    <t xml:space="preserve">4 × 200 m; 350 m continuous</t>
  </si>
  <si>
    <t xml:space="preserve">Introduce hill walking and jogging; long session to 90 minutes.</t>
  </si>
  <si>
    <t xml:space="preserve">5:1</t>
  </si>
  <si>
    <t xml:space="preserve">3 × 200 m; 400 m continuous</t>
  </si>
  <si>
    <t xml:space="preserve">Easier week and the second 5 km test. Cutback week: strength at 2 sets; Christmas week is a good time for it.</t>
  </si>
  <si>
    <t xml:space="preserve">3 × 250 m; 450 m continuous</t>
  </si>
  <si>
    <t xml:space="preserve">First steady (moderate) running; long session over 100 minutes.</t>
  </si>
  <si>
    <t xml:space="preserve">6:1</t>
  </si>
  <si>
    <t xml:space="preserve">2 × 400 m; 500 m continuous</t>
  </si>
  <si>
    <t xml:space="preserve">Hill repeats for the 8 km climb; long session to 2 hours.</t>
  </si>
  <si>
    <t xml:space="preserve">3 × 250 m; 600 m continuous</t>
  </si>
  <si>
    <t xml:space="preserve">Easier week and the deciding 5 km test. Cutback week: strength at 2 sets.</t>
  </si>
  <si>
    <t xml:space="preserve">8:1</t>
  </si>
  <si>
    <t xml:space="preserve">2 × 400 m; 600 m continuous</t>
  </si>
  <si>
    <t xml:space="preserve">Longest session: 2 h 30 min at race rhythm, with race fuelling. Sleep 8+ hours around the long run; Sunday swim very easy.</t>
  </si>
  <si>
    <t xml:space="preserve">4 × 150 m; 700 m continuous</t>
  </si>
  <si>
    <t xml:space="preserve">Cut volume; keep a little race-effort running. Strength once, light; no new foods or shoes.</t>
  </si>
  <si>
    <t xml:space="preserve">Race</t>
  </si>
  <si>
    <t xml:space="preserve">6 × 50 m easy</t>
  </si>
  <si>
    <t xml:space="preserve">Rest, travel, race. No strength after Tuesday; travel to Moshi by Friday.</t>
  </si>
  <si>
    <t xml:space="preserve">Strength A (Wednesday) and B (Tuesday evening)</t>
  </si>
  <si>
    <t xml:space="preserve">Stop each set with 2–3 reps left (RPE 7). Cutback weeks 4, 8, 11: 2 sets. Week 13: A only, 2 sets. Week 14: upper body only.</t>
  </si>
  <si>
    <t xml:space="preserve">Exercise</t>
  </si>
  <si>
    <t xml:space="preserve">Sets × reps</t>
  </si>
  <si>
    <t xml:space="preserve">Technique cues</t>
  </si>
  <si>
    <t xml:space="preserve">Progression</t>
  </si>
  <si>
    <t xml:space="preserve">A</t>
  </si>
  <si>
    <t xml:space="preserve">Sit-to-stand → squat</t>
  </si>
  <si>
    <t xml:space="preserve">3 × 8–12</t>
  </si>
  <si>
    <t xml:space="preserve">60–90 s</t>
  </si>
  <si>
    <t xml:space="preserve">Feet hip-width, knees over toes, chest up, sit back</t>
  </si>
  <si>
    <t xml:space="preserve">Chair → no chair → backpack → 3 s lowering</t>
  </si>
  <si>
    <t xml:space="preserve">Glute bridge</t>
  </si>
  <si>
    <t xml:space="preserve">3 × 10–12</t>
  </si>
  <si>
    <t xml:space="preserve">60 s</t>
  </si>
  <si>
    <t xml:space="preserve">Ribs down, push through heels, 2 s squeeze</t>
  </si>
  <si>
    <t xml:space="preserve">Two legs → single leg</t>
  </si>
  <si>
    <t xml:space="preserve">Step-up (or reverse lunge)</t>
  </si>
  <si>
    <t xml:space="preserve">3 × 8 per leg</t>
  </si>
  <si>
    <t xml:space="preserve">Safe 20–30 cm step; no step: reverse lunge holding a wall</t>
  </si>
  <si>
    <t xml:space="preserve">Add the backpack</t>
  </si>
  <si>
    <t xml:space="preserve">Hip hinge</t>
  </si>
  <si>
    <t xml:space="preserve">3 × 10</t>
  </si>
  <si>
    <t xml:space="preserve">Soft knees, flat back, hips back</t>
  </si>
  <si>
    <t xml:space="preserve">Good morning → single-leg RDL (hand on wall) → with backpack</t>
  </si>
  <si>
    <t xml:space="preserve">Calf raise</t>
  </si>
  <si>
    <t xml:space="preserve">3 × 12–15</t>
  </si>
  <si>
    <t xml:space="preserve">45–60 s</t>
  </si>
  <si>
    <t xml:space="preserve">Step edge, full range, 3 s down</t>
  </si>
  <si>
    <t xml:space="preserve">Two legs → single leg → single leg + backpack</t>
  </si>
  <si>
    <t xml:space="preserve">Bent-knee calf raise</t>
  </si>
  <si>
    <t xml:space="preserve">2 × 15</t>
  </si>
  <si>
    <t xml:space="preserve">45 s</t>
  </si>
  <si>
    <t xml:space="preserve">Knees bent 30°</t>
  </si>
  <si>
    <t xml:space="preserve">Single leg</t>
  </si>
  <si>
    <t xml:space="preserve">Dead bug</t>
  </si>
  <si>
    <t xml:space="preserve">3 × 8 per side</t>
  </si>
  <si>
    <t xml:space="preserve">Lower back pressed down</t>
  </si>
  <si>
    <t xml:space="preserve">Slower, straighter legs</t>
  </si>
  <si>
    <t xml:space="preserve">Side plank</t>
  </si>
  <si>
    <t xml:space="preserve">3 × 20–40 s per side</t>
  </si>
  <si>
    <t xml:space="preserve">Straight line ear-hip-ankle</t>
  </si>
  <si>
    <t xml:space="preserve">Knees → feet → top-leg lift</t>
  </si>
  <si>
    <t xml:space="preserve">Pelvic-floor finisher</t>
  </si>
  <si>
    <t xml:space="preserve">1 × 10</t>
  </si>
  <si>
    <t xml:space="preserve">Glute bridge with 5 s pelvic-floor squeeze</t>
  </si>
  <si>
    <t xml:space="preserve">Hold 8 s</t>
  </si>
  <si>
    <t xml:space="preserve">B</t>
  </si>
  <si>
    <t xml:space="preserve">Push-up</t>
  </si>
  <si>
    <t xml:space="preserve">Body straight, elbows about 45°</t>
  </si>
  <si>
    <t xml:space="preserve">Wall → table → knees → full</t>
  </si>
  <si>
    <t xml:space="preserve">Backpack bent-over row</t>
  </si>
  <si>
    <t xml:space="preserve">Hinge, flat back, bag to lower ribs</t>
  </si>
  <si>
    <t xml:space="preserve">Heavier bag, 2 s squeeze</t>
  </si>
  <si>
    <t xml:space="preserve">Overhead press / pike push-up</t>
  </si>
  <si>
    <t xml:space="preserve">3 × 8–10</t>
  </si>
  <si>
    <t xml:space="preserve">Ribs down, press straight up</t>
  </si>
  <si>
    <t xml:space="preserve">Heavier bag; feet raised</t>
  </si>
  <si>
    <t xml:space="preserve">Single-leg balance</t>
  </si>
  <si>
    <t xml:space="preserve">3 × 30 s per leg</t>
  </si>
  <si>
    <t xml:space="preserve">30 s</t>
  </si>
  <si>
    <t xml:space="preserve">Soft knee, hips level</t>
  </si>
  <si>
    <t xml:space="preserve">Eyes closed → folded towel</t>
  </si>
  <si>
    <t xml:space="preserve">Single-leg calf lowering</t>
  </si>
  <si>
    <t xml:space="preserve">2 × 10 per leg</t>
  </si>
  <si>
    <t xml:space="preserve">Up on two, down on one over 3 s</t>
  </si>
  <si>
    <t xml:space="preserve">Add backpack</t>
  </si>
  <si>
    <t xml:space="preserve">Towel scrunch + tibialis raise</t>
  </si>
  <si>
    <t xml:space="preserve">2 × 20 + 2 × 15</t>
  </si>
  <si>
    <t xml:space="preserve">Toes scrunch a towel; back to wall, lift toes</t>
  </si>
  <si>
    <t xml:space="preserve">More reps, slower</t>
  </si>
  <si>
    <t xml:space="preserve">Bird dog</t>
  </si>
  <si>
    <t xml:space="preserve">Hips level, reach long</t>
  </si>
  <si>
    <t xml:space="preserve">Hold 3 s</t>
  </si>
  <si>
    <t xml:space="preserve">Front plank</t>
  </si>
  <si>
    <t xml:space="preserve">3 × 20–45 s</t>
  </si>
  <si>
    <t xml:space="preserve">Squeeze glutes, no sag</t>
  </si>
  <si>
    <t xml:space="preserve">Longer → shoulder taps</t>
  </si>
  <si>
    <t xml:space="preserve">10 squeezes</t>
  </si>
  <si>
    <t xml:space="preserve">5 s squeeze in a deep squat hold</t>
  </si>
  <si>
    <t xml:space="preserve">Soreness or injury?</t>
  </si>
  <si>
    <t xml:space="preserve">Normal</t>
  </si>
  <si>
    <t xml:space="preserve">Dull, spread across a muscle, peaks 24–48 h after, eases as you warm up — train as planned</t>
  </si>
  <si>
    <t xml:space="preserve">Warning</t>
  </si>
  <si>
    <t xml:space="preserve">Sharp or pinpoint pain, pain on a bone, swelling, limping, pain at night, pain lasting 3+ days</t>
  </si>
  <si>
    <t xml:space="preserve">Rule</t>
  </si>
  <si>
    <t xml:space="preserve">Pain up to 3/10 that stays stable or eases: OK. Above 3 or rising: stop, 3 days walking/swimming only, physio if it lasts a week</t>
  </si>
  <si>
    <t xml:space="preserve">Swim plan (optional) — from 100 m to 600–700 m continuous</t>
  </si>
  <si>
    <t xml:space="preserve">Wednesday repeats at RPE 4–5; Sunday continuous very easy (RPE 3–4). Never on a run day or a fast day.</t>
  </si>
  <si>
    <t xml:space="preserve">Wednesday main set</t>
  </si>
  <si>
    <t xml:space="preserve">Wednesday total (m)</t>
  </si>
  <si>
    <t xml:space="preserve">Sunday continuous (m)</t>
  </si>
  <si>
    <t xml:space="preserve">Sunday total (m)</t>
  </si>
  <si>
    <t xml:space="preserve">Your longest non-stop (m)</t>
  </si>
  <si>
    <t xml:space="preserve">8 × 50 m</t>
  </si>
  <si>
    <t xml:space="preserve">40 s</t>
  </si>
  <si>
    <t xml:space="preserve">6 × 75 m</t>
  </si>
  <si>
    <t xml:space="preserve">5 × 100 m</t>
  </si>
  <si>
    <t xml:space="preserve">4 × 100 m</t>
  </si>
  <si>
    <t xml:space="preserve">4 × 150 m</t>
  </si>
  <si>
    <t xml:space="preserve">3 × 200 m</t>
  </si>
  <si>
    <t xml:space="preserve">4 × 200 m</t>
  </si>
  <si>
    <t xml:space="preserve">3 × 250 m</t>
  </si>
  <si>
    <t xml:space="preserve">2 × 400 m</t>
  </si>
  <si>
    <t xml:space="preserve">Every swim: warm-up 4 × 25 m easy; drills 4 × 25 m (side kick, catch-up, fingertip drag, six-kick switch); main set; cool-down 50–100 m easy. Sunday adds 4 × 50 m relaxed after the continuous swim.</t>
  </si>
  <si>
    <t xml:space="preserve">Food values</t>
  </si>
  <si>
    <t xml:space="preserve">Typical values for the closest standard food; local recipes vary about ±15%. Edit to match your foods.</t>
  </si>
  <si>
    <t xml:space="preserve">Key</t>
  </si>
  <si>
    <t xml:space="preserve">Food</t>
  </si>
  <si>
    <t xml:space="preserve">Basis</t>
  </si>
  <si>
    <t xml:space="preserve">Divide by</t>
  </si>
  <si>
    <t xml:space="preserve">kcal</t>
  </si>
  <si>
    <t xml:space="preserve">Protein (g)</t>
  </si>
  <si>
    <t xml:space="preserve">Carbs (g)</t>
  </si>
  <si>
    <t xml:space="preserve">Fat (g)</t>
  </si>
  <si>
    <t xml:space="preserve">ugali</t>
  </si>
  <si>
    <t xml:space="preserve">per 100 g</t>
  </si>
  <si>
    <t xml:space="preserve">rice</t>
  </si>
  <si>
    <t xml:space="preserve">rice (cooked)</t>
  </si>
  <si>
    <t xml:space="preserve">sweet_potato</t>
  </si>
  <si>
    <t xml:space="preserve">viazi vitamu (boiled)</t>
  </si>
  <si>
    <t xml:space="preserve">potato</t>
  </si>
  <si>
    <t xml:space="preserve">Irish potato (boiled)</t>
  </si>
  <si>
    <t xml:space="preserve">plantain</t>
  </si>
  <si>
    <t xml:space="preserve">ndizi (boiled)</t>
  </si>
  <si>
    <t xml:space="preserve">beans</t>
  </si>
  <si>
    <t xml:space="preserve">maharage (cooked)</t>
  </si>
  <si>
    <t xml:space="preserve">lentils</t>
  </si>
  <si>
    <t xml:space="preserve">dengu (cooked)</t>
  </si>
  <si>
    <t xml:space="preserve">chicken</t>
  </si>
  <si>
    <t xml:space="preserve">chicken, skinless</t>
  </si>
  <si>
    <t xml:space="preserve">tilapia</t>
  </si>
  <si>
    <t xml:space="preserve">sato (tilapia)</t>
  </si>
  <si>
    <t xml:space="preserve">beef</t>
  </si>
  <si>
    <t xml:space="preserve">lean beef</t>
  </si>
  <si>
    <t xml:space="preserve">dagaa</t>
  </si>
  <si>
    <t xml:space="preserve">dagaa (dried)</t>
  </si>
  <si>
    <t xml:space="preserve">sardines</t>
  </si>
  <si>
    <t xml:space="preserve">sardines (tinned, drained)</t>
  </si>
  <si>
    <t xml:space="preserve">greens</t>
  </si>
  <si>
    <t xml:space="preserve">mchicha / greens</t>
  </si>
  <si>
    <t xml:space="preserve">kachumbari</t>
  </si>
  <si>
    <t xml:space="preserve">avocado</t>
  </si>
  <si>
    <t xml:space="preserve">groundnuts</t>
  </si>
  <si>
    <t xml:space="preserve">karanga (groundnuts)</t>
  </si>
  <si>
    <t xml:space="preserve">pumpkin_seeds</t>
  </si>
  <si>
    <t xml:space="preserve">pumpkin seeds</t>
  </si>
  <si>
    <t xml:space="preserve">oats</t>
  </si>
  <si>
    <t xml:space="preserve">oats (dry)</t>
  </si>
  <si>
    <t xml:space="preserve">uji_flour</t>
  </si>
  <si>
    <t xml:space="preserve">millet/sorghum uji flour</t>
  </si>
  <si>
    <t xml:space="preserve">bread</t>
  </si>
  <si>
    <t xml:space="preserve">brown bread</t>
  </si>
  <si>
    <t xml:space="preserve">watermelon</t>
  </si>
  <si>
    <t xml:space="preserve">papaya</t>
  </si>
  <si>
    <t xml:space="preserve">papai</t>
  </si>
  <si>
    <t xml:space="preserve">mango</t>
  </si>
  <si>
    <t xml:space="preserve">embe</t>
  </si>
  <si>
    <t xml:space="preserve">pineapple</t>
  </si>
  <si>
    <t xml:space="preserve">nanasi</t>
  </si>
  <si>
    <t xml:space="preserve">orange</t>
  </si>
  <si>
    <t xml:space="preserve">chungwa</t>
  </si>
  <si>
    <t xml:space="preserve">tomato_onion</t>
  </si>
  <si>
    <t xml:space="preserve">tomato + onion</t>
  </si>
  <si>
    <t xml:space="preserve">egg</t>
  </si>
  <si>
    <t xml:space="preserve">per unit</t>
  </si>
  <si>
    <t xml:space="preserve">banana</t>
  </si>
  <si>
    <t xml:space="preserve">date</t>
  </si>
  <si>
    <t xml:space="preserve">date (tende)</t>
  </si>
  <si>
    <t xml:space="preserve">milk_250</t>
  </si>
  <si>
    <t xml:space="preserve">milk 250 ml</t>
  </si>
  <si>
    <t xml:space="preserve">mtindi_250</t>
  </si>
  <si>
    <t xml:space="preserve">mtindi 250 ml</t>
  </si>
  <si>
    <t xml:space="preserve">oil_tsp</t>
  </si>
  <si>
    <t xml:space="preserve">oil (tsp)</t>
  </si>
  <si>
    <t xml:space="preserve">sugar_tsp</t>
  </si>
  <si>
    <t xml:space="preserve">sugar (tsp)</t>
  </si>
  <si>
    <t xml:space="preserve">honey_tsp</t>
  </si>
  <si>
    <t xml:space="preserve">honey (tsp)</t>
  </si>
  <si>
    <t xml:space="preserve">pb_tbsp</t>
  </si>
  <si>
    <t xml:space="preserve">peanut butter (tbsp)</t>
  </si>
  <si>
    <t xml:space="preserve">soup_bowl</t>
  </si>
  <si>
    <t xml:space="preserve">clear soup, 300 ml bowl</t>
  </si>
  <si>
    <t xml:space="preserve">Seven-day Tanzanian meal plan</t>
  </si>
  <si>
    <t xml:space="preserve">Change a quantity (yellow) or a food key and the totals update. Keys are listed on the Foods sheet.</t>
  </si>
  <si>
    <t xml:space="preserve">Meal</t>
  </si>
  <si>
    <t xml:space="preserve">Food key</t>
  </si>
  <si>
    <t xml:space="preserve">Quantity</t>
  </si>
  <si>
    <t xml:space="preserve">Note</t>
  </si>
  <si>
    <t xml:space="preserve">Monday (fast day)</t>
  </si>
  <si>
    <t xml:space="preserve">04:30</t>
  </si>
  <si>
    <t xml:space="preserve">Suhoor</t>
  </si>
  <si>
    <t xml:space="preserve">g</t>
  </si>
  <si>
    <t xml:space="preserve">Oats cooked in the milk. Drink 600–800 ml water, sipped through the meal. Little salt.</t>
  </si>
  <si>
    <t xml:space="preserve">unit</t>
  </si>
  <si>
    <t xml:space="preserve">18:50</t>
  </si>
  <si>
    <t xml:space="preserve">Break the fast</t>
  </si>
  <si>
    <t xml:space="preserve">500 ml water first, slowly over 15 minutes.</t>
  </si>
  <si>
    <t xml:space="preserve">19:20</t>
  </si>
  <si>
    <t xml:space="preserve">Main meal</t>
  </si>
  <si>
    <t xml:space="preserve">Then the easy walk and mobility at about 20:15.</t>
  </si>
  <si>
    <t xml:space="preserve">21:15</t>
  </si>
  <si>
    <t xml:space="preserve">Evening snack</t>
  </si>
  <si>
    <t xml:space="preserve">Keep sipping water until bed.</t>
  </si>
  <si>
    <t xml:space="preserve">Tuesday (run + strength B)</t>
  </si>
  <si>
    <t xml:space="preserve">05:20</t>
  </si>
  <si>
    <t xml:space="preserve">Before the run</t>
  </si>
  <si>
    <t xml:space="preserve">300–400 ml water.</t>
  </si>
  <si>
    <t xml:space="preserve">07:30</t>
  </si>
  <si>
    <t xml:space="preserve">Breakfast</t>
  </si>
  <si>
    <t xml:space="preserve">Eggs cooked with tomato and onion.</t>
  </si>
  <si>
    <t xml:space="preserve">10:30</t>
  </si>
  <si>
    <t xml:space="preserve">Snack</t>
  </si>
  <si>
    <t xml:space="preserve">13:00</t>
  </si>
  <si>
    <t xml:space="preserve">Lunch</t>
  </si>
  <si>
    <t xml:space="preserve">16:30</t>
  </si>
  <si>
    <t xml:space="preserve">Before strength</t>
  </si>
  <si>
    <t xml:space="preserve">Strength B at about 18:00.</t>
  </si>
  <si>
    <t xml:space="preserve">19:30</t>
  </si>
  <si>
    <t xml:space="preserve">Dinner</t>
  </si>
  <si>
    <t xml:space="preserve">Wednesday (strength A + swim)</t>
  </si>
  <si>
    <t xml:space="preserve">07:00</t>
  </si>
  <si>
    <t xml:space="preserve">Uji made with the milk, 1 tsp sugar at most.</t>
  </si>
  <si>
    <t xml:space="preserve">16:00</t>
  </si>
  <si>
    <t xml:space="preserve">Before strength / swim</t>
  </si>
  <si>
    <t xml:space="preserve">Strength A at about 16:45, swim at about 18:00.</t>
  </si>
  <si>
    <t xml:space="preserve">Thursday (fast day)</t>
  </si>
  <si>
    <t xml:space="preserve">600–800 ml water sipped through the meal.</t>
  </si>
  <si>
    <t xml:space="preserve">500 ml water first, slowly.</t>
  </si>
  <si>
    <t xml:space="preserve">A bit more starch tonight: tomorrow morning is a run.</t>
  </si>
  <si>
    <t xml:space="preserve">Friday (run)</t>
  </si>
  <si>
    <t xml:space="preserve">400 ml water: you are coming off a dry fast.</t>
  </si>
  <si>
    <t xml:space="preserve">Ndizi stew with beef.</t>
  </si>
  <si>
    <t xml:space="preserve">Carbs at dinner fuel tomorrow's long run.</t>
  </si>
  <si>
    <t xml:space="preserve">Saturday (long run)</t>
  </si>
  <si>
    <t xml:space="preserve">05:00</t>
  </si>
  <si>
    <t xml:space="preserve">Before the long run</t>
  </si>
  <si>
    <t xml:space="preserve">400–500 ml water.</t>
  </si>
  <si>
    <t xml:space="preserve">during</t>
  </si>
  <si>
    <t xml:space="preserve">During runs over 90 minutes</t>
  </si>
  <si>
    <t xml:space="preserve">Counted here; see the fueling protocol for timing.</t>
  </si>
  <si>
    <t xml:space="preserve">09:00</t>
  </si>
  <si>
    <t xml:space="preserve">Recovery breakfast</t>
  </si>
  <si>
    <t xml:space="preserve">Within 60 minutes of finishing.</t>
  </si>
  <si>
    <t xml:space="preserve">13:30</t>
  </si>
  <si>
    <t xml:space="preserve">Sunday (swim + recovery)</t>
  </si>
  <si>
    <t xml:space="preserve">11:00</t>
  </si>
  <si>
    <t xml:space="preserve">Before the swim</t>
  </si>
  <si>
    <t xml:space="preserve">Easy swim at about 17:30.</t>
  </si>
  <si>
    <t xml:space="preserve">Dagaa cooked with tomato and greens.</t>
  </si>
  <si>
    <t xml:space="preserve">Daily targets and meal-plan totals</t>
  </si>
  <si>
    <t xml:space="preserve">Totals are calculated from the Meal Plan sheet. Recalculate every 2 weeks from your weight trend.</t>
  </si>
  <si>
    <t xml:space="preserve">Day type</t>
  </si>
  <si>
    <t xml:space="preserve">Target kcal</t>
  </si>
  <si>
    <t xml:space="preserve">Target protein (g)</t>
  </si>
  <si>
    <t xml:space="preserve">Target carbs (g)</t>
  </si>
  <si>
    <t xml:space="preserve">Target fat (g)</t>
  </si>
  <si>
    <t xml:space="preserve">Meal plan kcal</t>
  </si>
  <si>
    <t xml:space="preserve">Meal plan protein</t>
  </si>
  <si>
    <t xml:space="preserve">Meal plan carbs</t>
  </si>
  <si>
    <t xml:space="preserve">Meal plan fat</t>
  </si>
  <si>
    <t xml:space="preserve">kcal difference</t>
  </si>
  <si>
    <t xml:space="preserve">Weekly average</t>
  </si>
  <si>
    <t xml:space="preserve">Every two weeks: compare your 7-day average weight with two weeks earlier</t>
  </si>
  <si>
    <t xml:space="preserve">Lost more than 1.6 kg in 2 weeks</t>
  </si>
  <si>
    <t xml:space="preserve">Add 200 kcal a day, mostly carbohydrate around runs</t>
  </si>
  <si>
    <t xml:space="preserve">Lost 0.6–1.6 kg</t>
  </si>
  <si>
    <t xml:space="preserve">On track: change nothing</t>
  </si>
  <si>
    <t xml:space="preserve">Lost under 0.6 kg, training and sleep good</t>
  </si>
  <si>
    <t xml:space="preserve">Remove 150 kcal a day from oil, sugar or snacks — never protein or pre-run food</t>
  </si>
  <si>
    <t xml:space="preserve">Lost under 0.6 kg, but tired or sleeping badly</t>
  </si>
  <si>
    <t xml:space="preserve">Keep calories; fix sleep; reassess in 2 weeks</t>
  </si>
  <si>
    <t xml:space="preserve">From week 9</t>
  </si>
  <si>
    <t xml:space="preserve">Add about 150 kcal of carbohydrate on Tue and Fri, 250 kcal on Sat</t>
  </si>
  <si>
    <t xml:space="preserve">Race week (Fri, Sat)</t>
  </si>
  <si>
    <t xml:space="preserve">Carbohydrate about 4–5 g/kg (350–430 g), low fibre and fat</t>
  </si>
  <si>
    <t xml:space="preserve">Race pacing — Kilimanjaro Half Marathon, 07:00 start, 12:30 cut-off</t>
  </si>
  <si>
    <t xml:space="preserve">The first 8 km climb about 290 m. Factors below are planning assumptions; run by effort. Change the yellow cells to test other plans.</t>
  </si>
  <si>
    <t xml:space="preserve">Climb factor (0–8 km)</t>
  </si>
  <si>
    <t xml:space="preserve">Dirt section factor (8–10 km)</t>
  </si>
  <si>
    <t xml:space="preserve">Return factor (10–21.1 km, calculated)</t>
  </si>
  <si>
    <t xml:space="preserve">Hill, heat and beginner allowance</t>
  </si>
  <si>
    <t xml:space="preserve">Plan (finish, h:mm)</t>
  </si>
  <si>
    <t xml:space="preserve">Use it if your 5 km test is</t>
  </si>
  <si>
    <t xml:space="preserve">Average pace</t>
  </si>
  <si>
    <t xml:space="preserve">Climb pace</t>
  </si>
  <si>
    <t xml:space="preserve">Dirt pace</t>
  </si>
  <si>
    <t xml:space="preserve">Return pace</t>
  </si>
  <si>
    <t xml:space="preserve">5 km</t>
  </si>
  <si>
    <t xml:space="preserve">10 km</t>
  </si>
  <si>
    <t xml:space="preserve">15 km</t>
  </si>
  <si>
    <t xml:space="preserve">20 km</t>
  </si>
  <si>
    <t xml:space="preserve">Finish clock time</t>
  </si>
  <si>
    <t xml:space="preserve">Finish (min)</t>
  </si>
  <si>
    <t xml:space="preserve">3:00</t>
  </si>
  <si>
    <t xml:space="preserve">36 min or faster</t>
  </si>
  <si>
    <t xml:space="preserve">3:15</t>
  </si>
  <si>
    <t xml:space="preserve">37–40 min</t>
  </si>
  <si>
    <t xml:space="preserve">3:30</t>
  </si>
  <si>
    <t xml:space="preserve">41–43 min</t>
  </si>
  <si>
    <t xml:space="preserve">3:45</t>
  </si>
  <si>
    <t xml:space="preserve">44–47 min</t>
  </si>
  <si>
    <t xml:space="preserve">Finish strong (4:00)</t>
  </si>
  <si>
    <t xml:space="preserve">48 min or slower</t>
  </si>
  <si>
    <t xml:space="preserve">Your 5 km test → projection</t>
  </si>
  <si>
    <t xml:space="preserve">5 km test time (min)</t>
  </si>
  <si>
    <t xml:space="preserve">Flat-course projection</t>
  </si>
  <si>
    <t xml:space="preserve">This course (× allowance)</t>
  </si>
  <si>
    <t xml:space="preserve">Plan to use</t>
  </si>
  <si>
    <t xml:space="preserve">Race morning</t>
  </si>
  <si>
    <t xml:space="preserve">03:45</t>
  </si>
  <si>
    <t xml:space="preserve">Wake, toilet, water</t>
  </si>
  <si>
    <t xml:space="preserve">04:00</t>
  </si>
  <si>
    <t xml:space="preserve">Breakfast: 2–3 slices white bread + honey + 1 tbsp peanut butter, 1 banana, sweet tea or uji (about 100–120 g carbohydrate)</t>
  </si>
  <si>
    <t xml:space="preserve">05:30</t>
  </si>
  <si>
    <t xml:space="preserve">Leave for the start; sip water to thirst</t>
  </si>
  <si>
    <t xml:space="preserve">06:30</t>
  </si>
  <si>
    <t xml:space="preserve">Warm-up: 10 min easy walk, leg swings, ankle rocks</t>
  </si>
  <si>
    <t xml:space="preserve">06:50</t>
  </si>
  <si>
    <t xml:space="preserve">Line up in the back half of the field</t>
  </si>
  <si>
    <t xml:space="preserve">07:00 →</t>
  </si>
  <si>
    <t xml:space="preserve">Run-walk from km 1; walk the steep climb; carbohydrate every 20–25 min; drink to thirst at every water point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</si>
</sst>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dd\ d\ mmm\ yyyy"/>
    <numFmt numFmtId="166" formatCode="0.0"/>
    <numFmt numFmtId="167" formatCode="#,##0"/>
    <numFmt numFmtId="168" formatCode="[m]:ss"/>
    <numFmt numFmtId="169" formatCode="[h]:mm"/>
    <numFmt numFmtId="170" formatCode="0"/>
    <numFmt numFmtId="171" formatCode="\+0.0;\-0.0;0.0"/>
    <numFmt numFmtId="172" formatCode="0%"/>
    <numFmt numFmtId="173" formatCode="ddd\ d\ mmm"/>
    <numFmt numFmtId="174" formatCode="d\ mmm"/>
    <numFmt numFmtId="175" formatCode="\+#,##0;\-#,##0;0"/>
    <numFmt numFmtId="176" formatCode="0.000"/>
    <numFmt numFmtId="177" formatCode="hh: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4C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0F4C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B3FA0"/>
      <name val="Arial"/>
      <family val="0"/>
      <charset val="1"/>
    </font>
    <font>
      <b val="true"/>
      <sz val="10"/>
      <color rgb="FF6B3FA0"/>
      <name val="Arial"/>
      <family val="0"/>
      <charset val="1"/>
    </font>
    <font>
      <sz val="10"/>
      <color rgb="FF1B6E3A"/>
      <name val="Arial"/>
      <family val="0"/>
      <charset val="1"/>
    </font>
    <font>
      <b val="true"/>
      <sz val="10"/>
      <color rgb="FF1B6E3A"/>
      <name val="Arial"/>
      <family val="0"/>
      <charset val="1"/>
    </font>
    <font>
      <sz val="10"/>
      <color rgb="FF1F5FA8"/>
      <name val="Arial"/>
      <family val="0"/>
      <charset val="1"/>
    </font>
    <font>
      <b val="true"/>
      <sz val="10"/>
      <color rgb="FF1F5FA8"/>
      <name val="Arial"/>
      <family val="0"/>
      <charset val="1"/>
    </font>
    <font>
      <sz val="10"/>
      <color rgb="FF9A4A00"/>
      <name val="Arial"/>
      <family val="0"/>
      <charset val="1"/>
    </font>
    <font>
      <b val="true"/>
      <sz val="10"/>
      <color rgb="FF9A4A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EEF2"/>
        <bgColor rgb="FFE6EEF9"/>
      </patternFill>
    </fill>
    <fill>
      <patternFill patternType="solid">
        <fgColor rgb="FFFFF2B3"/>
        <bgColor rgb="FFFFE3A8"/>
      </patternFill>
    </fill>
    <fill>
      <patternFill patternType="solid">
        <fgColor rgb="FF0F4C5C"/>
        <bgColor rgb="FF1B6E3A"/>
      </patternFill>
    </fill>
    <fill>
      <patternFill patternType="solid">
        <fgColor rgb="FFE8F4EA"/>
        <bgColor rgb="FFEEEEEE"/>
      </patternFill>
    </fill>
    <fill>
      <patternFill patternType="solid">
        <fgColor rgb="FFE6EEF9"/>
        <bgColor rgb="FFEEEEEE"/>
      </patternFill>
    </fill>
    <fill>
      <patternFill patternType="solid">
        <fgColor rgb="FFFCEBDD"/>
        <bgColor rgb="FFEEEEEE"/>
      </patternFill>
    </fill>
    <fill>
      <patternFill patternType="solid">
        <fgColor rgb="FFF8DCD2"/>
        <bgColor rgb="FFFCEBDD"/>
      </patternFill>
    </fill>
    <fill>
      <patternFill patternType="solid">
        <fgColor rgb="FFF1E8F7"/>
        <bgColor rgb="FFEDE3F7"/>
      </patternFill>
    </fill>
    <fill>
      <patternFill patternType="solid">
        <fgColor rgb="FFEDE3F7"/>
        <bgColor rgb="FFF1E8F7"/>
      </patternFill>
    </fill>
    <fill>
      <patternFill patternType="solid">
        <fgColor rgb="FFEEEEEE"/>
        <bgColor rgb="FFE6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D6"/>
      </left>
      <right style="thin">
        <color rgb="FFC8D3D6"/>
      </right>
      <top style="thin">
        <color rgb="FFC8D3D6"/>
      </top>
      <bottom style="thin">
        <color rgb="FFC8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>
          <bgColor rgb="FFC9EBD2"/>
        </patternFill>
      </fill>
    </dxf>
    <dxf>
      <fill>
        <patternFill>
          <bgColor rgb="FFFFE3A8"/>
        </patternFill>
      </fill>
    </dxf>
    <dxf>
      <fill>
        <patternFill>
          <bgColor rgb="FFF6C2BE"/>
        </patternFill>
      </fill>
    </dxf>
    <dxf>
      <fill>
        <patternFill patternType="solid">
          <fgColor rgb="FF0F4C5C"/>
          <bgColor rgb="FF000000"/>
        </patternFill>
      </fill>
    </dxf>
    <dxf>
      <fill>
        <patternFill patternType="solid">
          <fgColor rgb="FFE6EEF9"/>
          <bgColor rgb="FF000000"/>
        </patternFill>
      </fill>
    </dxf>
    <dxf>
      <fill>
        <patternFill patternType="solid">
          <fgColor rgb="FFE8F4EA"/>
          <bgColor rgb="FF000000"/>
        </patternFill>
      </fill>
    </dxf>
    <dxf>
      <fill>
        <patternFill patternType="solid">
          <fgColor rgb="FFEDE3F7"/>
          <bgColor rgb="FF000000"/>
        </patternFill>
      </fill>
    </dxf>
    <dxf>
      <fill>
        <patternFill patternType="solid">
          <fgColor rgb="FFF1E8F7"/>
          <bgColor rgb="FF000000"/>
        </patternFill>
      </fill>
    </dxf>
    <dxf>
      <fill>
        <patternFill patternType="solid">
          <fgColor rgb="FFF8DCD2"/>
          <bgColor rgb="FF000000"/>
        </patternFill>
      </fill>
    </dxf>
    <dxf>
      <fill>
        <patternFill patternType="solid">
          <fgColor rgb="FFFCEBD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6E3A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9A4A00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BDD"/>
      <rgbColor rgb="FFFF00FF"/>
      <rgbColor rgb="FF00FFFF"/>
      <rgbColor rgb="FF800000"/>
      <rgbColor rgb="FF1B6E3A"/>
      <rgbColor rgb="FF000080"/>
      <rgbColor rgb="FF808000"/>
      <rgbColor rgb="FF800080"/>
      <rgbColor rgb="FF008080"/>
      <rgbColor rgb="FFD9D9D9"/>
      <rgbColor rgb="FF878787"/>
      <rgbColor rgb="FFE6EEF9"/>
      <rgbColor rgb="FF993366"/>
      <rgbColor rgb="FFFFF2B3"/>
      <rgbColor rgb="FFD9EEF2"/>
      <rgbColor rgb="FF660066"/>
      <rgbColor rgb="FFFF8080"/>
      <rgbColor rgb="FF1F5FA8"/>
      <rgbColor rgb="FFC8D3D6"/>
      <rgbColor rgb="FF000080"/>
      <rgbColor rgb="FFFF00FF"/>
      <rgbColor rgb="FFEEEEEE"/>
      <rgbColor rgb="FF00FFFF"/>
      <rgbColor rgb="FF800080"/>
      <rgbColor rgb="FF800000"/>
      <rgbColor rgb="FF008080"/>
      <rgbColor rgb="FF0000FF"/>
      <rgbColor rgb="FF00CCFF"/>
      <rgbColor rgb="FFE8F4EA"/>
      <rgbColor rgb="FFC9EBD2"/>
      <rgbColor rgb="FFFFE3A8"/>
      <rgbColor rgb="FFEDE3F7"/>
      <rgbColor rgb="FFF8DCD2"/>
      <rgbColor rgb="FFF1E8F7"/>
      <rgbColor rgb="FFF6C2B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F4C5C"/>
      <rgbColor rgb="FF339966"/>
      <rgbColor rgb="FF003300"/>
      <rgbColor rgb="FF333300"/>
      <rgbColor rgb="FF9A4A00"/>
      <rgbColor rgb="FF993366"/>
      <rgbColor rgb="FF6B3FA0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weight by week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Review'!Q4</c:f>
              <c:strCache>
                <c:ptCount val="1"/>
                <c:pt idx="0">
                  <c:v>Avg weight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Review'!$A$5:$A$19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'Weekly Review'!$Q$5:$Q$19</c:f>
              <c:numCache>
                <c:formatCode>General</c:formatCode>
                <c:ptCount val="15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035844"/>
        <c:axId val="39288506"/>
      </c:lineChart>
      <c:catAx>
        <c:axId val="470358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88506"/>
        <c:crosses val="autoZero"/>
        <c:auto val="1"/>
        <c:lblAlgn val="ctr"/>
        <c:lblOffset val="100"/>
        <c:noMultiLvlLbl val="0"/>
      </c:catAx>
      <c:valAx>
        <c:axId val="39288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35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15</xdr:row>
      <xdr:rowOff>217440</xdr:rowOff>
    </xdr:from>
    <xdr:to>
      <xdr:col>10</xdr:col>
      <xdr:colOff>120600</xdr:colOff>
      <xdr:row>29</xdr:row>
      <xdr:rowOff>137520</xdr:rowOff>
    </xdr:to>
    <xdr:graphicFrame>
      <xdr:nvGraphicFramePr>
        <xdr:cNvPr id="0" name="Chart 1"/>
        <xdr:cNvGraphicFramePr/>
      </xdr:nvGraphicFramePr>
      <xdr:xfrm>
        <a:off x="1198080" y="4191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6" min="6" style="0" width="3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87</v>
      </c>
      <c r="C5" s="7" t="s">
        <v>4</v>
      </c>
      <c r="D5" s="7"/>
      <c r="E5" s="7"/>
      <c r="F5" s="7"/>
    </row>
    <row r="6" customFormat="false" ht="15" hidden="false" customHeight="true" outlineLevel="0" collapsed="false">
      <c r="A6" s="5" t="s">
        <v>5</v>
      </c>
      <c r="B6" s="6" t="n">
        <v>1.62</v>
      </c>
      <c r="C6" s="7" t="s">
        <v>6</v>
      </c>
      <c r="D6" s="7"/>
      <c r="E6" s="7"/>
      <c r="F6" s="7"/>
    </row>
    <row r="7" customFormat="false" ht="15" hidden="false" customHeight="true" outlineLevel="0" collapsed="false">
      <c r="A7" s="5" t="s">
        <v>7</v>
      </c>
      <c r="B7" s="6" t="n">
        <v>26</v>
      </c>
      <c r="C7" s="7" t="s">
        <v>8</v>
      </c>
      <c r="D7" s="7"/>
      <c r="E7" s="7"/>
      <c r="F7" s="7"/>
    </row>
    <row r="8" customFormat="false" ht="15" hidden="false" customHeight="true" outlineLevel="0" collapsed="false">
      <c r="A8" s="5" t="s">
        <v>9</v>
      </c>
      <c r="B8" s="6" t="n">
        <v>1.2</v>
      </c>
      <c r="C8" s="7" t="s">
        <v>10</v>
      </c>
      <c r="D8" s="7"/>
      <c r="E8" s="7"/>
      <c r="F8" s="7"/>
    </row>
    <row r="9" customFormat="false" ht="15" hidden="false" customHeight="true" outlineLevel="0" collapsed="false">
      <c r="A9" s="5" t="s">
        <v>11</v>
      </c>
      <c r="B9" s="8" t="n">
        <v>46425</v>
      </c>
      <c r="C9" s="7" t="s">
        <v>12</v>
      </c>
      <c r="D9" s="7"/>
      <c r="E9" s="7"/>
      <c r="F9" s="7"/>
    </row>
    <row r="10" customFormat="false" ht="15" hidden="false" customHeight="true" outlineLevel="0" collapsed="false">
      <c r="A10" s="5" t="s">
        <v>13</v>
      </c>
      <c r="B10" s="6" t="s">
        <v>14</v>
      </c>
      <c r="C10" s="7" t="s">
        <v>15</v>
      </c>
      <c r="D10" s="7"/>
      <c r="E10" s="7"/>
      <c r="F10" s="7"/>
    </row>
    <row r="12" customFormat="false" ht="15" hidden="false" customHeight="false" outlineLevel="0" collapsed="false">
      <c r="A12" s="3" t="s">
        <v>16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5" t="s">
        <v>17</v>
      </c>
      <c r="B13" s="9" t="n">
        <f aca="false">B5/B6^2</f>
        <v>33.1504343850023</v>
      </c>
      <c r="C13" s="7" t="s">
        <v>18</v>
      </c>
      <c r="D13" s="7"/>
      <c r="E13" s="7"/>
      <c r="F13" s="7"/>
    </row>
    <row r="14" customFormat="false" ht="15" hidden="false" customHeight="true" outlineLevel="0" collapsed="false">
      <c r="A14" s="5" t="s">
        <v>19</v>
      </c>
      <c r="B14" s="10" t="n">
        <f aca="false">10*B5+6.25*B6*100-5*B7+5</f>
        <v>1757.5</v>
      </c>
      <c r="C14" s="7" t="s">
        <v>20</v>
      </c>
      <c r="D14" s="7"/>
      <c r="E14" s="7"/>
      <c r="F14" s="7"/>
    </row>
    <row r="15" customFormat="false" ht="15" hidden="false" customHeight="true" outlineLevel="0" collapsed="false">
      <c r="A15" s="5" t="s">
        <v>21</v>
      </c>
      <c r="B15" s="10" t="n">
        <f aca="false">B14*B8</f>
        <v>2109</v>
      </c>
      <c r="C15" s="7" t="s">
        <v>22</v>
      </c>
      <c r="D15" s="7"/>
      <c r="E15" s="7"/>
      <c r="F15" s="7"/>
    </row>
    <row r="16" customFormat="false" ht="15" hidden="false" customHeight="true" outlineLevel="0" collapsed="false">
      <c r="A16" s="5" t="s">
        <v>23</v>
      </c>
      <c r="B16" s="11" t="n">
        <f aca="false">180/21.0975/1440</f>
        <v>0.00592487261523877</v>
      </c>
      <c r="C16" s="7" t="s">
        <v>24</v>
      </c>
      <c r="D16" s="7"/>
      <c r="E16" s="7"/>
      <c r="F16" s="7"/>
    </row>
    <row r="17" customFormat="false" ht="15" hidden="false" customHeight="true" outlineLevel="0" collapsed="false">
      <c r="A17" s="5" t="s">
        <v>25</v>
      </c>
      <c r="B17" s="12" t="n">
        <f aca="false">60*(21.0975/5)^1.06*1.08/1440</f>
        <v>0.207008969996546</v>
      </c>
      <c r="C17" s="7" t="s">
        <v>26</v>
      </c>
      <c r="D17" s="7"/>
      <c r="E17" s="7"/>
      <c r="F17" s="7"/>
    </row>
    <row r="19" customFormat="false" ht="15" hidden="false" customHeight="false" outlineLevel="0" collapsed="false">
      <c r="A19" s="3" t="s">
        <v>27</v>
      </c>
      <c r="B19" s="4"/>
      <c r="C19" s="4"/>
      <c r="D19" s="4"/>
      <c r="E19" s="4"/>
      <c r="F19" s="4"/>
    </row>
    <row r="20" customFormat="false" ht="15" hidden="false" customHeight="false" outlineLevel="0" collapsed="false">
      <c r="A20" s="5" t="s">
        <v>28</v>
      </c>
      <c r="B20" s="13" t="n">
        <f aca="true">MAX(0,B9-TODAY())</f>
        <v>101</v>
      </c>
    </row>
    <row r="21" customFormat="false" ht="15" hidden="false" customHeight="false" outlineLevel="0" collapsed="false">
      <c r="A21" s="5" t="s">
        <v>29</v>
      </c>
      <c r="B21" s="14" t="str">
        <f aca="false">IFERROR(LOOKUP(2,1/ISNUMBER('Daily Log'!F5:F106),'Daily Log'!F5:F106),"Log your weight")</f>
        <v>Log your weight</v>
      </c>
    </row>
    <row r="22" customFormat="false" ht="15" hidden="false" customHeight="false" outlineLevel="0" collapsed="false">
      <c r="A22" s="5" t="s">
        <v>30</v>
      </c>
      <c r="B22" s="15" t="str">
        <f aca="false">IFERROR(B21-B5,"")</f>
        <v/>
      </c>
    </row>
    <row r="23" customFormat="false" ht="15" hidden="false" customHeight="false" outlineLevel="0" collapsed="false">
      <c r="A23" s="5" t="s">
        <v>31</v>
      </c>
      <c r="B23" s="13" t="n">
        <f aca="false">COUNTIF('Daily Plan'!K:K,"Yes")+COUNTIF('Daily Plan'!K:K,"Partial")</f>
        <v>0</v>
      </c>
    </row>
    <row r="24" customFormat="false" ht="15" hidden="false" customHeight="false" outlineLevel="0" collapsed="false">
      <c r="A24" s="5" t="s">
        <v>32</v>
      </c>
      <c r="B24" s="13" t="n">
        <f aca="false">COUNTIFS('Daily Plan'!F:F,"&lt;&gt;Rest",'Daily Plan'!F:F,"&lt;&gt;Type",'Daily Plan'!F:F,"&lt;&gt;")</f>
        <v>142</v>
      </c>
    </row>
    <row r="25" customFormat="false" ht="15" hidden="false" customHeight="false" outlineLevel="0" collapsed="false">
      <c r="A25" s="5" t="s">
        <v>33</v>
      </c>
      <c r="B25" s="16" t="n">
        <f aca="false">IFERROR(B23/B24,0)</f>
        <v>0</v>
      </c>
    </row>
    <row r="26" customFormat="false" ht="15" hidden="false" customHeight="false" outlineLevel="0" collapsed="false">
      <c r="A26" s="5" t="s">
        <v>34</v>
      </c>
      <c r="B26" s="13" t="n">
        <f aca="false">_xlfn.MAXIFS('Daily Plan'!L:L,'Daily Plan'!F:F,"Run")</f>
        <v>0</v>
      </c>
    </row>
    <row r="27" customFormat="false" ht="15" hidden="false" customHeight="false" outlineLevel="0" collapsed="false">
      <c r="A27" s="5" t="s">
        <v>35</v>
      </c>
      <c r="B27" s="13" t="n">
        <f aca="false">MAX('Weekly Review'!T:T)</f>
        <v>0</v>
      </c>
    </row>
    <row r="28" customFormat="false" ht="15" hidden="false" customHeight="false" outlineLevel="0" collapsed="false">
      <c r="A28" s="5" t="s">
        <v>36</v>
      </c>
      <c r="B28" s="14" t="str">
        <f aca="false">IFERROR(LOOKUP(2,1/ISNUMBER('Weekly Review'!U5:U19),'Weekly Review'!U5:U19),"Not tested yet")</f>
        <v>Not tested yet</v>
      </c>
    </row>
    <row r="29" customFormat="false" ht="15" hidden="false" customHeight="false" outlineLevel="0" collapsed="false">
      <c r="A29" s="5" t="s">
        <v>37</v>
      </c>
      <c r="B29" s="17" t="str">
        <f aca="false">IFERROR(B28*(21.0975/5)^1.06*1.08/1440,"")</f>
        <v/>
      </c>
    </row>
    <row r="30" customFormat="false" ht="15" hidden="false" customHeight="false" outlineLevel="0" collapsed="false">
      <c r="A30" s="5" t="s">
        <v>38</v>
      </c>
      <c r="B30" s="5" t="str">
        <f aca="false">IFERROR(LOOKUP(B28,{0,36.01,40.01,43.01,47.01},{"3:00","3:15","3:30","3:45","Finish strong (4:00)"}),"After your first test")</f>
        <v>After your first test</v>
      </c>
    </row>
    <row r="31" customFormat="false" ht="15" hidden="false" customHeight="false" outlineLevel="0" collapsed="false">
      <c r="A31" s="5" t="s">
        <v>39</v>
      </c>
      <c r="B31" s="5" t="str">
        <f aca="true">IFERROR(INDEX('Weekly Review'!V5:V19,MATCH(MAX(0,MIN(14,INT((TODAY()-DATE(2026,11,2))/7)+1)),'Weekly Review'!A5:A19,0)),"")</f>
        <v/>
      </c>
    </row>
    <row r="33" customFormat="false" ht="15" hidden="false" customHeight="false" outlineLevel="0" collapsed="false">
      <c r="A33" s="3" t="s">
        <v>40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18" t="s">
        <v>41</v>
      </c>
      <c r="B34" s="18" t="s">
        <v>42</v>
      </c>
      <c r="C34" s="18" t="s">
        <v>43</v>
      </c>
      <c r="D34" s="18" t="s">
        <v>44</v>
      </c>
      <c r="E34" s="18"/>
      <c r="F34" s="18"/>
    </row>
    <row r="35" customFormat="false" ht="15" hidden="false" customHeight="true" outlineLevel="0" collapsed="false">
      <c r="A35" s="19" t="s">
        <v>45</v>
      </c>
      <c r="B35" s="19" t="s">
        <v>46</v>
      </c>
      <c r="C35" s="19" t="s">
        <v>47</v>
      </c>
      <c r="D35" s="19" t="s">
        <v>48</v>
      </c>
      <c r="E35" s="19"/>
      <c r="F35" s="19"/>
    </row>
    <row r="36" customFormat="false" ht="15" hidden="false" customHeight="true" outlineLevel="0" collapsed="false">
      <c r="A36" s="19" t="s">
        <v>49</v>
      </c>
      <c r="B36" s="19" t="s">
        <v>50</v>
      </c>
      <c r="C36" s="19" t="s">
        <v>51</v>
      </c>
      <c r="D36" s="19" t="s">
        <v>52</v>
      </c>
      <c r="E36" s="19"/>
      <c r="F36" s="19"/>
    </row>
    <row r="37" customFormat="false" ht="15" hidden="false" customHeight="true" outlineLevel="0" collapsed="false">
      <c r="A37" s="19" t="s">
        <v>53</v>
      </c>
      <c r="B37" s="19" t="s">
        <v>54</v>
      </c>
      <c r="C37" s="19" t="s">
        <v>55</v>
      </c>
      <c r="D37" s="19" t="s">
        <v>56</v>
      </c>
      <c r="E37" s="19"/>
      <c r="F37" s="19"/>
    </row>
    <row r="38" customFormat="false" ht="15" hidden="false" customHeight="true" outlineLevel="0" collapsed="false">
      <c r="A38" s="19" t="s">
        <v>57</v>
      </c>
      <c r="B38" s="19" t="s">
        <v>58</v>
      </c>
      <c r="C38" s="19" t="s">
        <v>59</v>
      </c>
      <c r="D38" s="19" t="s">
        <v>60</v>
      </c>
      <c r="E38" s="19"/>
      <c r="F38" s="19"/>
    </row>
    <row r="39" customFormat="false" ht="15" hidden="false" customHeight="true" outlineLevel="0" collapsed="false">
      <c r="A39" s="19" t="s">
        <v>61</v>
      </c>
      <c r="B39" s="19" t="s">
        <v>62</v>
      </c>
      <c r="C39" s="19" t="s">
        <v>63</v>
      </c>
      <c r="D39" s="19" t="s">
        <v>64</v>
      </c>
      <c r="E39" s="19"/>
      <c r="F39" s="19"/>
    </row>
    <row r="41" customFormat="false" ht="15" hidden="false" customHeight="false" outlineLevel="0" collapsed="false">
      <c r="A41" s="3" t="s">
        <v>65</v>
      </c>
      <c r="B41" s="4"/>
      <c r="C41" s="4"/>
      <c r="D41" s="4"/>
      <c r="E41" s="4"/>
      <c r="F41" s="4"/>
    </row>
    <row r="42" customFormat="false" ht="30" hidden="false" customHeight="true" outlineLevel="0" collapsed="false">
      <c r="A42" s="19" t="s">
        <v>66</v>
      </c>
      <c r="B42" s="19" t="s">
        <v>67</v>
      </c>
      <c r="C42" s="19"/>
      <c r="D42" s="19"/>
      <c r="E42" s="19"/>
      <c r="F42" s="19"/>
    </row>
    <row r="43" customFormat="false" ht="30" hidden="false" customHeight="true" outlineLevel="0" collapsed="false">
      <c r="A43" s="19" t="s">
        <v>68</v>
      </c>
      <c r="B43" s="19" t="s">
        <v>69</v>
      </c>
      <c r="C43" s="19"/>
      <c r="D43" s="19"/>
      <c r="E43" s="19"/>
      <c r="F43" s="19"/>
    </row>
    <row r="44" customFormat="false" ht="30" hidden="false" customHeight="true" outlineLevel="0" collapsed="false">
      <c r="A44" s="19" t="s">
        <v>70</v>
      </c>
      <c r="B44" s="19" t="s">
        <v>71</v>
      </c>
      <c r="C44" s="19"/>
      <c r="D44" s="19"/>
      <c r="E44" s="19"/>
      <c r="F44" s="19"/>
    </row>
    <row r="45" customFormat="false" ht="30" hidden="false" customHeight="true" outlineLevel="0" collapsed="false">
      <c r="A45" s="19" t="s">
        <v>72</v>
      </c>
      <c r="B45" s="19" t="s">
        <v>73</v>
      </c>
      <c r="C45" s="19"/>
      <c r="D45" s="19"/>
      <c r="E45" s="19"/>
      <c r="F45" s="19"/>
    </row>
    <row r="46" customFormat="false" ht="30" hidden="false" customHeight="true" outlineLevel="0" collapsed="false">
      <c r="A46" s="19" t="s">
        <v>74</v>
      </c>
      <c r="B46" s="19" t="s">
        <v>75</v>
      </c>
      <c r="C46" s="19"/>
      <c r="D46" s="19"/>
      <c r="E46" s="19"/>
      <c r="F46" s="19"/>
    </row>
    <row r="47" customFormat="false" ht="30" hidden="false" customHeight="true" outlineLevel="0" collapsed="false">
      <c r="A47" s="19" t="s">
        <v>76</v>
      </c>
      <c r="B47" s="19" t="s">
        <v>77</v>
      </c>
      <c r="C47" s="19"/>
      <c r="D47" s="19"/>
      <c r="E47" s="19"/>
      <c r="F47" s="19"/>
    </row>
    <row r="48" customFormat="false" ht="30" hidden="false" customHeight="true" outlineLevel="0" collapsed="false">
      <c r="A48" s="19" t="s">
        <v>78</v>
      </c>
      <c r="B48" s="19" t="s">
        <v>79</v>
      </c>
      <c r="C48" s="19"/>
      <c r="D48" s="19"/>
      <c r="E48" s="19"/>
      <c r="F48" s="19"/>
    </row>
  </sheetData>
  <mergeCells count="24">
    <mergeCell ref="C5:F5"/>
    <mergeCell ref="C6:F6"/>
    <mergeCell ref="C7:F7"/>
    <mergeCell ref="C8:F8"/>
    <mergeCell ref="C9:F9"/>
    <mergeCell ref="C10:F10"/>
    <mergeCell ref="C13:F13"/>
    <mergeCell ref="C14:F14"/>
    <mergeCell ref="C15:F15"/>
    <mergeCell ref="C16:F16"/>
    <mergeCell ref="C17:F17"/>
    <mergeCell ref="D34:F34"/>
    <mergeCell ref="D35:F35"/>
    <mergeCell ref="D36:F36"/>
    <mergeCell ref="D37:F37"/>
    <mergeCell ref="D38:F38"/>
    <mergeCell ref="D39:F39"/>
    <mergeCell ref="B42:F42"/>
    <mergeCell ref="B43:F43"/>
    <mergeCell ref="B44:F44"/>
    <mergeCell ref="B45:F45"/>
    <mergeCell ref="B46:F46"/>
    <mergeCell ref="B47:F47"/>
    <mergeCell ref="B48:F48"/>
  </mergeCells>
  <conditionalFormatting sqref="B31">
    <cfRule type="expression" priority="2" aboveAverage="0" equalAverage="0" bottom="0" percent="0" rank="0" text="" dxfId="0">
      <formula>LEFT($B$31,5)="Green"</formula>
    </cfRule>
    <cfRule type="expression" priority="3" aboveAverage="0" equalAverage="0" bottom="0" percent="0" rank="0" text="" dxfId="1">
      <formula>LEFT($B$31,5)="Amber"</formula>
    </cfRule>
    <cfRule type="expression" priority="4" aboveAverage="0" equalAverage="0" bottom="0" percent="0" rank="0" text="" dxfId="2">
      <formula>LEFT($B$31,3)="Red"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95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26"/>
  </cols>
  <sheetData>
    <row r="1" customFormat="false" ht="18.5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35.05" hidden="false" customHeight="false" outlineLevel="0" collapsed="false">
      <c r="A4" s="18" t="s">
        <v>82</v>
      </c>
      <c r="B4" s="18" t="s">
        <v>83</v>
      </c>
      <c r="C4" s="18" t="s">
        <v>84</v>
      </c>
      <c r="D4" s="18" t="s">
        <v>41</v>
      </c>
      <c r="E4" s="18" t="s">
        <v>85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90</v>
      </c>
      <c r="K4" s="18" t="s">
        <v>91</v>
      </c>
      <c r="L4" s="18" t="s">
        <v>92</v>
      </c>
      <c r="M4" s="18" t="s">
        <v>93</v>
      </c>
      <c r="N4" s="18" t="s">
        <v>94</v>
      </c>
      <c r="O4" s="18" t="s">
        <v>95</v>
      </c>
    </row>
    <row r="5" customFormat="false" ht="57.45" hidden="false" customHeight="false" outlineLevel="0" collapsed="false">
      <c r="A5" s="20" t="n">
        <v>46324</v>
      </c>
      <c r="B5" s="21" t="n">
        <v>0</v>
      </c>
      <c r="C5" s="21" t="s">
        <v>96</v>
      </c>
      <c r="D5" s="21" t="s">
        <v>97</v>
      </c>
      <c r="E5" s="21" t="s">
        <v>98</v>
      </c>
      <c r="F5" s="22" t="s">
        <v>99</v>
      </c>
      <c r="G5" s="23" t="s">
        <v>100</v>
      </c>
      <c r="H5" s="21" t="s">
        <v>101</v>
      </c>
      <c r="I5" s="21" t="n">
        <v>40</v>
      </c>
      <c r="J5" s="21" t="s">
        <v>102</v>
      </c>
      <c r="K5" s="24"/>
      <c r="L5" s="24"/>
      <c r="M5" s="24"/>
      <c r="N5" s="24"/>
      <c r="O5" s="24"/>
    </row>
    <row r="6" customFormat="false" ht="91" hidden="false" customHeight="false" outlineLevel="0" collapsed="false">
      <c r="A6" s="20" t="n">
        <v>46325</v>
      </c>
      <c r="B6" s="21" t="n">
        <v>0</v>
      </c>
      <c r="C6" s="21" t="s">
        <v>103</v>
      </c>
      <c r="D6" s="21" t="s">
        <v>97</v>
      </c>
      <c r="E6" s="21" t="s">
        <v>104</v>
      </c>
      <c r="F6" s="25" t="s">
        <v>105</v>
      </c>
      <c r="G6" s="26" t="s">
        <v>106</v>
      </c>
      <c r="H6" s="21" t="s">
        <v>107</v>
      </c>
      <c r="I6" s="21" t="n">
        <v>30</v>
      </c>
      <c r="J6" s="21" t="s">
        <v>102</v>
      </c>
      <c r="K6" s="24"/>
      <c r="L6" s="24"/>
      <c r="M6" s="24"/>
      <c r="N6" s="24"/>
      <c r="O6" s="24"/>
    </row>
    <row r="7" customFormat="false" ht="102.2" hidden="false" customHeight="false" outlineLevel="0" collapsed="false">
      <c r="A7" s="20" t="n">
        <v>46326</v>
      </c>
      <c r="B7" s="21" t="n">
        <v>0</v>
      </c>
      <c r="C7" s="21" t="s">
        <v>108</v>
      </c>
      <c r="D7" s="21" t="s">
        <v>97</v>
      </c>
      <c r="E7" s="21" t="s">
        <v>104</v>
      </c>
      <c r="F7" s="25" t="s">
        <v>105</v>
      </c>
      <c r="G7" s="26" t="s">
        <v>109</v>
      </c>
      <c r="H7" s="21" t="s">
        <v>110</v>
      </c>
      <c r="I7" s="21" t="n">
        <v>40</v>
      </c>
      <c r="J7" s="21" t="s">
        <v>102</v>
      </c>
      <c r="K7" s="24"/>
      <c r="L7" s="24"/>
      <c r="M7" s="24"/>
      <c r="N7" s="24"/>
      <c r="O7" s="24"/>
    </row>
    <row r="8" customFormat="false" ht="79.85" hidden="false" customHeight="false" outlineLevel="0" collapsed="false">
      <c r="A8" s="20" t="n">
        <v>46327</v>
      </c>
      <c r="B8" s="21" t="n">
        <v>0</v>
      </c>
      <c r="C8" s="21" t="s">
        <v>111</v>
      </c>
      <c r="D8" s="21" t="s">
        <v>97</v>
      </c>
      <c r="E8" s="21" t="s">
        <v>112</v>
      </c>
      <c r="F8" s="27" t="s">
        <v>113</v>
      </c>
      <c r="G8" s="28" t="s">
        <v>114</v>
      </c>
      <c r="H8" s="21" t="s">
        <v>115</v>
      </c>
      <c r="I8" s="21" t="n">
        <v>600</v>
      </c>
      <c r="J8" s="21" t="s">
        <v>116</v>
      </c>
      <c r="K8" s="24"/>
      <c r="L8" s="24"/>
      <c r="M8" s="24"/>
      <c r="N8" s="24"/>
      <c r="O8" s="24"/>
    </row>
    <row r="9" customFormat="false" ht="23.85" hidden="false" customHeight="false" outlineLevel="0" collapsed="false">
      <c r="A9" s="20" t="n">
        <v>46327</v>
      </c>
      <c r="B9" s="21" t="n">
        <v>0</v>
      </c>
      <c r="C9" s="21" t="s">
        <v>111</v>
      </c>
      <c r="D9" s="21" t="s">
        <v>97</v>
      </c>
      <c r="E9" s="21" t="s">
        <v>117</v>
      </c>
      <c r="F9" s="22" t="s">
        <v>99</v>
      </c>
      <c r="G9" s="23" t="s">
        <v>118</v>
      </c>
      <c r="H9" s="21" t="s">
        <v>119</v>
      </c>
      <c r="I9" s="21" t="n">
        <v>30</v>
      </c>
      <c r="J9" s="21" t="s">
        <v>102</v>
      </c>
      <c r="K9" s="24"/>
      <c r="L9" s="24"/>
      <c r="M9" s="24"/>
      <c r="N9" s="24"/>
      <c r="O9" s="24"/>
    </row>
    <row r="10" customFormat="false" ht="57.45" hidden="false" customHeight="false" outlineLevel="0" collapsed="false">
      <c r="A10" s="20" t="n">
        <v>46328</v>
      </c>
      <c r="B10" s="21" t="n">
        <v>1</v>
      </c>
      <c r="C10" s="21" t="s">
        <v>120</v>
      </c>
      <c r="D10" s="21" t="s">
        <v>97</v>
      </c>
      <c r="E10" s="21" t="s">
        <v>98</v>
      </c>
      <c r="F10" s="22" t="s">
        <v>99</v>
      </c>
      <c r="G10" s="23" t="s">
        <v>100</v>
      </c>
      <c r="H10" s="21" t="s">
        <v>101</v>
      </c>
      <c r="I10" s="21" t="n">
        <v>40</v>
      </c>
      <c r="J10" s="21" t="s">
        <v>102</v>
      </c>
      <c r="K10" s="24"/>
      <c r="L10" s="24"/>
      <c r="M10" s="24"/>
      <c r="N10" s="24"/>
      <c r="O10" s="24"/>
    </row>
    <row r="11" customFormat="false" ht="91" hidden="false" customHeight="false" outlineLevel="0" collapsed="false">
      <c r="A11" s="20" t="n">
        <v>46329</v>
      </c>
      <c r="B11" s="21" t="n">
        <v>1</v>
      </c>
      <c r="C11" s="21" t="s">
        <v>121</v>
      </c>
      <c r="D11" s="21" t="s">
        <v>97</v>
      </c>
      <c r="E11" s="21" t="s">
        <v>104</v>
      </c>
      <c r="F11" s="25" t="s">
        <v>105</v>
      </c>
      <c r="G11" s="26" t="s">
        <v>106</v>
      </c>
      <c r="H11" s="21" t="s">
        <v>107</v>
      </c>
      <c r="I11" s="21" t="n">
        <v>30</v>
      </c>
      <c r="J11" s="21" t="s">
        <v>102</v>
      </c>
      <c r="K11" s="24"/>
      <c r="L11" s="24"/>
      <c r="M11" s="24"/>
      <c r="N11" s="24"/>
      <c r="O11" s="24"/>
    </row>
    <row r="12" customFormat="false" ht="102.2" hidden="false" customHeight="false" outlineLevel="0" collapsed="false">
      <c r="A12" s="20" t="n">
        <v>46329</v>
      </c>
      <c r="B12" s="21" t="n">
        <v>1</v>
      </c>
      <c r="C12" s="21" t="s">
        <v>121</v>
      </c>
      <c r="D12" s="21" t="s">
        <v>97</v>
      </c>
      <c r="E12" s="21" t="s">
        <v>112</v>
      </c>
      <c r="F12" s="29" t="s">
        <v>122</v>
      </c>
      <c r="G12" s="30" t="s">
        <v>123</v>
      </c>
      <c r="H12" s="21" t="s">
        <v>124</v>
      </c>
      <c r="I12" s="21" t="n">
        <v>25</v>
      </c>
      <c r="J12" s="21" t="s">
        <v>102</v>
      </c>
      <c r="K12" s="24"/>
      <c r="L12" s="24"/>
      <c r="M12" s="24"/>
      <c r="N12" s="24"/>
      <c r="O12" s="24"/>
    </row>
    <row r="13" customFormat="false" ht="124.6" hidden="false" customHeight="false" outlineLevel="0" collapsed="false">
      <c r="A13" s="20" t="n">
        <v>46330</v>
      </c>
      <c r="B13" s="21" t="n">
        <v>1</v>
      </c>
      <c r="C13" s="21" t="s">
        <v>125</v>
      </c>
      <c r="D13" s="21" t="s">
        <v>97</v>
      </c>
      <c r="E13" s="21" t="s">
        <v>126</v>
      </c>
      <c r="F13" s="29" t="s">
        <v>122</v>
      </c>
      <c r="G13" s="30" t="s">
        <v>127</v>
      </c>
      <c r="H13" s="21" t="s">
        <v>128</v>
      </c>
      <c r="I13" s="21" t="n">
        <v>30</v>
      </c>
      <c r="J13" s="21" t="s">
        <v>102</v>
      </c>
      <c r="K13" s="24"/>
      <c r="L13" s="24"/>
      <c r="M13" s="24"/>
      <c r="N13" s="24"/>
      <c r="O13" s="24"/>
    </row>
    <row r="14" customFormat="false" ht="68.65" hidden="false" customHeight="false" outlineLevel="0" collapsed="false">
      <c r="A14" s="20" t="n">
        <v>46330</v>
      </c>
      <c r="B14" s="21" t="n">
        <v>1</v>
      </c>
      <c r="C14" s="21" t="s">
        <v>125</v>
      </c>
      <c r="D14" s="21" t="s">
        <v>97</v>
      </c>
      <c r="E14" s="21" t="s">
        <v>112</v>
      </c>
      <c r="F14" s="27" t="s">
        <v>113</v>
      </c>
      <c r="G14" s="28" t="s">
        <v>129</v>
      </c>
      <c r="H14" s="21" t="s">
        <v>130</v>
      </c>
      <c r="I14" s="21" t="n">
        <v>700</v>
      </c>
      <c r="J14" s="21" t="s">
        <v>116</v>
      </c>
      <c r="K14" s="24"/>
      <c r="L14" s="24"/>
      <c r="M14" s="24"/>
      <c r="N14" s="24"/>
      <c r="O14" s="24"/>
    </row>
    <row r="15" customFormat="false" ht="57.45" hidden="false" customHeight="false" outlineLevel="0" collapsed="false">
      <c r="A15" s="20" t="n">
        <v>46331</v>
      </c>
      <c r="B15" s="21" t="n">
        <v>1</v>
      </c>
      <c r="C15" s="21" t="s">
        <v>96</v>
      </c>
      <c r="D15" s="21" t="s">
        <v>97</v>
      </c>
      <c r="E15" s="21" t="s">
        <v>98</v>
      </c>
      <c r="F15" s="22" t="s">
        <v>99</v>
      </c>
      <c r="G15" s="23" t="s">
        <v>100</v>
      </c>
      <c r="H15" s="21" t="s">
        <v>101</v>
      </c>
      <c r="I15" s="21" t="n">
        <v>40</v>
      </c>
      <c r="J15" s="21" t="s">
        <v>102</v>
      </c>
      <c r="K15" s="24"/>
      <c r="L15" s="24"/>
      <c r="M15" s="24"/>
      <c r="N15" s="24"/>
      <c r="O15" s="24"/>
    </row>
    <row r="16" customFormat="false" ht="91" hidden="false" customHeight="false" outlineLevel="0" collapsed="false">
      <c r="A16" s="20" t="n">
        <v>46332</v>
      </c>
      <c r="B16" s="21" t="n">
        <v>1</v>
      </c>
      <c r="C16" s="21" t="s">
        <v>103</v>
      </c>
      <c r="D16" s="21" t="s">
        <v>97</v>
      </c>
      <c r="E16" s="21" t="s">
        <v>104</v>
      </c>
      <c r="F16" s="25" t="s">
        <v>105</v>
      </c>
      <c r="G16" s="26" t="s">
        <v>106</v>
      </c>
      <c r="H16" s="21" t="s">
        <v>107</v>
      </c>
      <c r="I16" s="21" t="n">
        <v>30</v>
      </c>
      <c r="J16" s="21" t="s">
        <v>102</v>
      </c>
      <c r="K16" s="24"/>
      <c r="L16" s="24"/>
      <c r="M16" s="24"/>
      <c r="N16" s="24"/>
      <c r="O16" s="24"/>
    </row>
    <row r="17" customFormat="false" ht="102.2" hidden="false" customHeight="false" outlineLevel="0" collapsed="false">
      <c r="A17" s="20" t="n">
        <v>46333</v>
      </c>
      <c r="B17" s="21" t="n">
        <v>1</v>
      </c>
      <c r="C17" s="21" t="s">
        <v>108</v>
      </c>
      <c r="D17" s="21" t="s">
        <v>97</v>
      </c>
      <c r="E17" s="21" t="s">
        <v>104</v>
      </c>
      <c r="F17" s="25" t="s">
        <v>105</v>
      </c>
      <c r="G17" s="26" t="s">
        <v>131</v>
      </c>
      <c r="H17" s="21" t="s">
        <v>132</v>
      </c>
      <c r="I17" s="21" t="n">
        <v>45</v>
      </c>
      <c r="J17" s="21" t="s">
        <v>102</v>
      </c>
      <c r="K17" s="24"/>
      <c r="L17" s="24"/>
      <c r="M17" s="24"/>
      <c r="N17" s="24"/>
      <c r="O17" s="24"/>
    </row>
    <row r="18" customFormat="false" ht="79.85" hidden="false" customHeight="false" outlineLevel="0" collapsed="false">
      <c r="A18" s="20" t="n">
        <v>46334</v>
      </c>
      <c r="B18" s="21" t="n">
        <v>1</v>
      </c>
      <c r="C18" s="21" t="s">
        <v>111</v>
      </c>
      <c r="D18" s="21" t="s">
        <v>97</v>
      </c>
      <c r="E18" s="21" t="s">
        <v>112</v>
      </c>
      <c r="F18" s="27" t="s">
        <v>113</v>
      </c>
      <c r="G18" s="28" t="s">
        <v>114</v>
      </c>
      <c r="H18" s="21" t="s">
        <v>115</v>
      </c>
      <c r="I18" s="21" t="n">
        <v>600</v>
      </c>
      <c r="J18" s="21" t="s">
        <v>116</v>
      </c>
      <c r="K18" s="24"/>
      <c r="L18" s="24"/>
      <c r="M18" s="24"/>
      <c r="N18" s="24"/>
      <c r="O18" s="24"/>
    </row>
    <row r="19" customFormat="false" ht="23.85" hidden="false" customHeight="false" outlineLevel="0" collapsed="false">
      <c r="A19" s="20" t="n">
        <v>46334</v>
      </c>
      <c r="B19" s="21" t="n">
        <v>1</v>
      </c>
      <c r="C19" s="21" t="s">
        <v>111</v>
      </c>
      <c r="D19" s="21" t="s">
        <v>97</v>
      </c>
      <c r="E19" s="21" t="s">
        <v>117</v>
      </c>
      <c r="F19" s="22" t="s">
        <v>99</v>
      </c>
      <c r="G19" s="23" t="s">
        <v>118</v>
      </c>
      <c r="H19" s="21" t="s">
        <v>119</v>
      </c>
      <c r="I19" s="21" t="n">
        <v>30</v>
      </c>
      <c r="J19" s="21" t="s">
        <v>102</v>
      </c>
      <c r="K19" s="24"/>
      <c r="L19" s="24"/>
      <c r="M19" s="24"/>
      <c r="N19" s="24"/>
      <c r="O19" s="24"/>
    </row>
    <row r="20" customFormat="false" ht="57.45" hidden="false" customHeight="false" outlineLevel="0" collapsed="false">
      <c r="A20" s="20" t="n">
        <v>46335</v>
      </c>
      <c r="B20" s="21" t="n">
        <v>2</v>
      </c>
      <c r="C20" s="21" t="s">
        <v>120</v>
      </c>
      <c r="D20" s="21" t="s">
        <v>97</v>
      </c>
      <c r="E20" s="21" t="s">
        <v>98</v>
      </c>
      <c r="F20" s="22" t="s">
        <v>99</v>
      </c>
      <c r="G20" s="23" t="s">
        <v>100</v>
      </c>
      <c r="H20" s="21" t="s">
        <v>101</v>
      </c>
      <c r="I20" s="21" t="n">
        <v>40</v>
      </c>
      <c r="J20" s="21" t="s">
        <v>102</v>
      </c>
      <c r="K20" s="24"/>
      <c r="L20" s="24"/>
      <c r="M20" s="24"/>
      <c r="N20" s="24"/>
      <c r="O20" s="24"/>
    </row>
    <row r="21" customFormat="false" ht="91" hidden="false" customHeight="false" outlineLevel="0" collapsed="false">
      <c r="A21" s="20" t="n">
        <v>46336</v>
      </c>
      <c r="B21" s="21" t="n">
        <v>2</v>
      </c>
      <c r="C21" s="21" t="s">
        <v>121</v>
      </c>
      <c r="D21" s="21" t="s">
        <v>97</v>
      </c>
      <c r="E21" s="21" t="s">
        <v>104</v>
      </c>
      <c r="F21" s="25" t="s">
        <v>105</v>
      </c>
      <c r="G21" s="26" t="s">
        <v>133</v>
      </c>
      <c r="H21" s="21" t="s">
        <v>134</v>
      </c>
      <c r="I21" s="21" t="n">
        <v>35</v>
      </c>
      <c r="J21" s="21" t="s">
        <v>102</v>
      </c>
      <c r="K21" s="24"/>
      <c r="L21" s="24"/>
      <c r="M21" s="24"/>
      <c r="N21" s="24"/>
      <c r="O21" s="24"/>
    </row>
    <row r="22" customFormat="false" ht="102.2" hidden="false" customHeight="false" outlineLevel="0" collapsed="false">
      <c r="A22" s="20" t="n">
        <v>46336</v>
      </c>
      <c r="B22" s="21" t="n">
        <v>2</v>
      </c>
      <c r="C22" s="21" t="s">
        <v>121</v>
      </c>
      <c r="D22" s="21" t="s">
        <v>97</v>
      </c>
      <c r="E22" s="21" t="s">
        <v>112</v>
      </c>
      <c r="F22" s="29" t="s">
        <v>122</v>
      </c>
      <c r="G22" s="30" t="s">
        <v>123</v>
      </c>
      <c r="H22" s="21" t="s">
        <v>124</v>
      </c>
      <c r="I22" s="21" t="n">
        <v>25</v>
      </c>
      <c r="J22" s="21" t="s">
        <v>102</v>
      </c>
      <c r="K22" s="24"/>
      <c r="L22" s="24"/>
      <c r="M22" s="24"/>
      <c r="N22" s="24"/>
      <c r="O22" s="24"/>
    </row>
    <row r="23" customFormat="false" ht="124.6" hidden="false" customHeight="false" outlineLevel="0" collapsed="false">
      <c r="A23" s="20" t="n">
        <v>46337</v>
      </c>
      <c r="B23" s="21" t="n">
        <v>2</v>
      </c>
      <c r="C23" s="21" t="s">
        <v>125</v>
      </c>
      <c r="D23" s="21" t="s">
        <v>97</v>
      </c>
      <c r="E23" s="21" t="s">
        <v>126</v>
      </c>
      <c r="F23" s="29" t="s">
        <v>122</v>
      </c>
      <c r="G23" s="30" t="s">
        <v>127</v>
      </c>
      <c r="H23" s="21" t="s">
        <v>128</v>
      </c>
      <c r="I23" s="21" t="n">
        <v>30</v>
      </c>
      <c r="J23" s="21" t="s">
        <v>102</v>
      </c>
      <c r="K23" s="24"/>
      <c r="L23" s="24"/>
      <c r="M23" s="24"/>
      <c r="N23" s="24"/>
      <c r="O23" s="24"/>
    </row>
    <row r="24" customFormat="false" ht="68.65" hidden="false" customHeight="false" outlineLevel="0" collapsed="false">
      <c r="A24" s="20" t="n">
        <v>46337</v>
      </c>
      <c r="B24" s="21" t="n">
        <v>2</v>
      </c>
      <c r="C24" s="21" t="s">
        <v>125</v>
      </c>
      <c r="D24" s="21" t="s">
        <v>97</v>
      </c>
      <c r="E24" s="21" t="s">
        <v>112</v>
      </c>
      <c r="F24" s="27" t="s">
        <v>113</v>
      </c>
      <c r="G24" s="28" t="s">
        <v>135</v>
      </c>
      <c r="H24" s="21" t="s">
        <v>136</v>
      </c>
      <c r="I24" s="21" t="n">
        <v>750</v>
      </c>
      <c r="J24" s="21" t="s">
        <v>116</v>
      </c>
      <c r="K24" s="24"/>
      <c r="L24" s="24"/>
      <c r="M24" s="24"/>
      <c r="N24" s="24"/>
      <c r="O24" s="24"/>
    </row>
    <row r="25" customFormat="false" ht="57.45" hidden="false" customHeight="false" outlineLevel="0" collapsed="false">
      <c r="A25" s="20" t="n">
        <v>46338</v>
      </c>
      <c r="B25" s="21" t="n">
        <v>2</v>
      </c>
      <c r="C25" s="21" t="s">
        <v>96</v>
      </c>
      <c r="D25" s="21" t="s">
        <v>97</v>
      </c>
      <c r="E25" s="21" t="s">
        <v>98</v>
      </c>
      <c r="F25" s="22" t="s">
        <v>99</v>
      </c>
      <c r="G25" s="23" t="s">
        <v>100</v>
      </c>
      <c r="H25" s="21" t="s">
        <v>101</v>
      </c>
      <c r="I25" s="21" t="n">
        <v>40</v>
      </c>
      <c r="J25" s="21" t="s">
        <v>102</v>
      </c>
      <c r="K25" s="24"/>
      <c r="L25" s="24"/>
      <c r="M25" s="24"/>
      <c r="N25" s="24"/>
      <c r="O25" s="24"/>
    </row>
    <row r="26" customFormat="false" ht="91" hidden="false" customHeight="false" outlineLevel="0" collapsed="false">
      <c r="A26" s="20" t="n">
        <v>46339</v>
      </c>
      <c r="B26" s="21" t="n">
        <v>2</v>
      </c>
      <c r="C26" s="21" t="s">
        <v>103</v>
      </c>
      <c r="D26" s="21" t="s">
        <v>97</v>
      </c>
      <c r="E26" s="21" t="s">
        <v>104</v>
      </c>
      <c r="F26" s="25" t="s">
        <v>105</v>
      </c>
      <c r="G26" s="26" t="s">
        <v>106</v>
      </c>
      <c r="H26" s="21" t="s">
        <v>137</v>
      </c>
      <c r="I26" s="21" t="n">
        <v>30</v>
      </c>
      <c r="J26" s="21" t="s">
        <v>102</v>
      </c>
      <c r="K26" s="24"/>
      <c r="L26" s="24"/>
      <c r="M26" s="24"/>
      <c r="N26" s="24"/>
      <c r="O26" s="24"/>
    </row>
    <row r="27" customFormat="false" ht="102.2" hidden="false" customHeight="false" outlineLevel="0" collapsed="false">
      <c r="A27" s="20" t="n">
        <v>46340</v>
      </c>
      <c r="B27" s="21" t="n">
        <v>2</v>
      </c>
      <c r="C27" s="21" t="s">
        <v>108</v>
      </c>
      <c r="D27" s="21" t="s">
        <v>97</v>
      </c>
      <c r="E27" s="21" t="s">
        <v>104</v>
      </c>
      <c r="F27" s="25" t="s">
        <v>105</v>
      </c>
      <c r="G27" s="26" t="s">
        <v>138</v>
      </c>
      <c r="H27" s="21" t="s">
        <v>139</v>
      </c>
      <c r="I27" s="21" t="n">
        <v>50</v>
      </c>
      <c r="J27" s="21" t="s">
        <v>102</v>
      </c>
      <c r="K27" s="24"/>
      <c r="L27" s="24"/>
      <c r="M27" s="24"/>
      <c r="N27" s="24"/>
      <c r="O27" s="24"/>
    </row>
    <row r="28" customFormat="false" ht="79.85" hidden="false" customHeight="false" outlineLevel="0" collapsed="false">
      <c r="A28" s="20" t="n">
        <v>46341</v>
      </c>
      <c r="B28" s="21" t="n">
        <v>2</v>
      </c>
      <c r="C28" s="21" t="s">
        <v>111</v>
      </c>
      <c r="D28" s="21" t="s">
        <v>97</v>
      </c>
      <c r="E28" s="21" t="s">
        <v>112</v>
      </c>
      <c r="F28" s="27" t="s">
        <v>113</v>
      </c>
      <c r="G28" s="28" t="s">
        <v>140</v>
      </c>
      <c r="H28" s="21" t="s">
        <v>141</v>
      </c>
      <c r="I28" s="21" t="n">
        <v>625</v>
      </c>
      <c r="J28" s="21" t="s">
        <v>116</v>
      </c>
      <c r="K28" s="24"/>
      <c r="L28" s="24"/>
      <c r="M28" s="24"/>
      <c r="N28" s="24"/>
      <c r="O28" s="24"/>
    </row>
    <row r="29" customFormat="false" ht="23.85" hidden="false" customHeight="false" outlineLevel="0" collapsed="false">
      <c r="A29" s="20" t="n">
        <v>46341</v>
      </c>
      <c r="B29" s="21" t="n">
        <v>2</v>
      </c>
      <c r="C29" s="21" t="s">
        <v>111</v>
      </c>
      <c r="D29" s="21" t="s">
        <v>97</v>
      </c>
      <c r="E29" s="21" t="s">
        <v>117</v>
      </c>
      <c r="F29" s="22" t="s">
        <v>99</v>
      </c>
      <c r="G29" s="23" t="s">
        <v>118</v>
      </c>
      <c r="H29" s="21" t="s">
        <v>119</v>
      </c>
      <c r="I29" s="21" t="n">
        <v>30</v>
      </c>
      <c r="J29" s="21" t="s">
        <v>102</v>
      </c>
      <c r="K29" s="24"/>
      <c r="L29" s="24"/>
      <c r="M29" s="24"/>
      <c r="N29" s="24"/>
      <c r="O29" s="24"/>
    </row>
    <row r="30" customFormat="false" ht="57.45" hidden="false" customHeight="false" outlineLevel="0" collapsed="false">
      <c r="A30" s="20" t="n">
        <v>46342</v>
      </c>
      <c r="B30" s="21" t="n">
        <v>3</v>
      </c>
      <c r="C30" s="21" t="s">
        <v>120</v>
      </c>
      <c r="D30" s="21" t="s">
        <v>97</v>
      </c>
      <c r="E30" s="21" t="s">
        <v>98</v>
      </c>
      <c r="F30" s="22" t="s">
        <v>99</v>
      </c>
      <c r="G30" s="23" t="s">
        <v>100</v>
      </c>
      <c r="H30" s="21" t="s">
        <v>101</v>
      </c>
      <c r="I30" s="21" t="n">
        <v>40</v>
      </c>
      <c r="J30" s="21" t="s">
        <v>102</v>
      </c>
      <c r="K30" s="24"/>
      <c r="L30" s="24"/>
      <c r="M30" s="24"/>
      <c r="N30" s="24"/>
      <c r="O30" s="24"/>
    </row>
    <row r="31" customFormat="false" ht="91" hidden="false" customHeight="false" outlineLevel="0" collapsed="false">
      <c r="A31" s="20" t="n">
        <v>46343</v>
      </c>
      <c r="B31" s="21" t="n">
        <v>3</v>
      </c>
      <c r="C31" s="21" t="s">
        <v>121</v>
      </c>
      <c r="D31" s="21" t="s">
        <v>97</v>
      </c>
      <c r="E31" s="21" t="s">
        <v>104</v>
      </c>
      <c r="F31" s="25" t="s">
        <v>105</v>
      </c>
      <c r="G31" s="26" t="s">
        <v>133</v>
      </c>
      <c r="H31" s="21" t="s">
        <v>142</v>
      </c>
      <c r="I31" s="21" t="n">
        <v>35</v>
      </c>
      <c r="J31" s="21" t="s">
        <v>102</v>
      </c>
      <c r="K31" s="24"/>
      <c r="L31" s="24"/>
      <c r="M31" s="24"/>
      <c r="N31" s="24"/>
      <c r="O31" s="24"/>
    </row>
    <row r="32" customFormat="false" ht="102.2" hidden="false" customHeight="false" outlineLevel="0" collapsed="false">
      <c r="A32" s="20" t="n">
        <v>46343</v>
      </c>
      <c r="B32" s="21" t="n">
        <v>3</v>
      </c>
      <c r="C32" s="21" t="s">
        <v>121</v>
      </c>
      <c r="D32" s="21" t="s">
        <v>97</v>
      </c>
      <c r="E32" s="21" t="s">
        <v>112</v>
      </c>
      <c r="F32" s="29" t="s">
        <v>122</v>
      </c>
      <c r="G32" s="30" t="s">
        <v>123</v>
      </c>
      <c r="H32" s="21" t="s">
        <v>124</v>
      </c>
      <c r="I32" s="21" t="n">
        <v>25</v>
      </c>
      <c r="J32" s="21" t="s">
        <v>102</v>
      </c>
      <c r="K32" s="24"/>
      <c r="L32" s="24"/>
      <c r="M32" s="24"/>
      <c r="N32" s="24"/>
      <c r="O32" s="24"/>
    </row>
    <row r="33" customFormat="false" ht="124.6" hidden="false" customHeight="false" outlineLevel="0" collapsed="false">
      <c r="A33" s="20" t="n">
        <v>46344</v>
      </c>
      <c r="B33" s="21" t="n">
        <v>3</v>
      </c>
      <c r="C33" s="21" t="s">
        <v>125</v>
      </c>
      <c r="D33" s="21" t="s">
        <v>97</v>
      </c>
      <c r="E33" s="21" t="s">
        <v>126</v>
      </c>
      <c r="F33" s="29" t="s">
        <v>122</v>
      </c>
      <c r="G33" s="30" t="s">
        <v>127</v>
      </c>
      <c r="H33" s="21" t="s">
        <v>128</v>
      </c>
      <c r="I33" s="21" t="n">
        <v>30</v>
      </c>
      <c r="J33" s="21" t="s">
        <v>102</v>
      </c>
      <c r="K33" s="24"/>
      <c r="L33" s="24"/>
      <c r="M33" s="24"/>
      <c r="N33" s="24"/>
      <c r="O33" s="24"/>
    </row>
    <row r="34" customFormat="false" ht="68.65" hidden="false" customHeight="false" outlineLevel="0" collapsed="false">
      <c r="A34" s="20" t="n">
        <v>46344</v>
      </c>
      <c r="B34" s="21" t="n">
        <v>3</v>
      </c>
      <c r="C34" s="21" t="s">
        <v>125</v>
      </c>
      <c r="D34" s="21" t="s">
        <v>97</v>
      </c>
      <c r="E34" s="21" t="s">
        <v>112</v>
      </c>
      <c r="F34" s="27" t="s">
        <v>113</v>
      </c>
      <c r="G34" s="28" t="s">
        <v>143</v>
      </c>
      <c r="H34" s="21" t="s">
        <v>144</v>
      </c>
      <c r="I34" s="21" t="n">
        <v>800</v>
      </c>
      <c r="J34" s="21" t="s">
        <v>116</v>
      </c>
      <c r="K34" s="24"/>
      <c r="L34" s="24"/>
      <c r="M34" s="24"/>
      <c r="N34" s="24"/>
      <c r="O34" s="24"/>
    </row>
    <row r="35" customFormat="false" ht="57.45" hidden="false" customHeight="false" outlineLevel="0" collapsed="false">
      <c r="A35" s="20" t="n">
        <v>46345</v>
      </c>
      <c r="B35" s="21" t="n">
        <v>3</v>
      </c>
      <c r="C35" s="21" t="s">
        <v>96</v>
      </c>
      <c r="D35" s="21" t="s">
        <v>97</v>
      </c>
      <c r="E35" s="21" t="s">
        <v>98</v>
      </c>
      <c r="F35" s="22" t="s">
        <v>99</v>
      </c>
      <c r="G35" s="23" t="s">
        <v>100</v>
      </c>
      <c r="H35" s="21" t="s">
        <v>101</v>
      </c>
      <c r="I35" s="21" t="n">
        <v>40</v>
      </c>
      <c r="J35" s="21" t="s">
        <v>102</v>
      </c>
      <c r="K35" s="24"/>
      <c r="L35" s="24"/>
      <c r="M35" s="24"/>
      <c r="N35" s="24"/>
      <c r="O35" s="24"/>
    </row>
    <row r="36" customFormat="false" ht="91" hidden="false" customHeight="false" outlineLevel="0" collapsed="false">
      <c r="A36" s="20" t="n">
        <v>46346</v>
      </c>
      <c r="B36" s="21" t="n">
        <v>3</v>
      </c>
      <c r="C36" s="21" t="s">
        <v>103</v>
      </c>
      <c r="D36" s="21" t="s">
        <v>97</v>
      </c>
      <c r="E36" s="21" t="s">
        <v>104</v>
      </c>
      <c r="F36" s="25" t="s">
        <v>105</v>
      </c>
      <c r="G36" s="26" t="s">
        <v>133</v>
      </c>
      <c r="H36" s="21" t="s">
        <v>142</v>
      </c>
      <c r="I36" s="21" t="n">
        <v>35</v>
      </c>
      <c r="J36" s="21" t="s">
        <v>102</v>
      </c>
      <c r="K36" s="24"/>
      <c r="L36" s="24"/>
      <c r="M36" s="24"/>
      <c r="N36" s="24"/>
      <c r="O36" s="24"/>
    </row>
    <row r="37" customFormat="false" ht="102.2" hidden="false" customHeight="false" outlineLevel="0" collapsed="false">
      <c r="A37" s="20" t="n">
        <v>46347</v>
      </c>
      <c r="B37" s="21" t="n">
        <v>3</v>
      </c>
      <c r="C37" s="21" t="s">
        <v>108</v>
      </c>
      <c r="D37" s="21" t="s">
        <v>97</v>
      </c>
      <c r="E37" s="21" t="s">
        <v>104</v>
      </c>
      <c r="F37" s="25" t="s">
        <v>105</v>
      </c>
      <c r="G37" s="26" t="s">
        <v>145</v>
      </c>
      <c r="H37" s="21" t="s">
        <v>146</v>
      </c>
      <c r="I37" s="21" t="n">
        <v>60</v>
      </c>
      <c r="J37" s="21" t="s">
        <v>102</v>
      </c>
      <c r="K37" s="24"/>
      <c r="L37" s="24"/>
      <c r="M37" s="24"/>
      <c r="N37" s="24"/>
      <c r="O37" s="24"/>
    </row>
    <row r="38" customFormat="false" ht="79.85" hidden="false" customHeight="false" outlineLevel="0" collapsed="false">
      <c r="A38" s="20" t="n">
        <v>46348</v>
      </c>
      <c r="B38" s="21" t="n">
        <v>3</v>
      </c>
      <c r="C38" s="21" t="s">
        <v>111</v>
      </c>
      <c r="D38" s="21" t="s">
        <v>97</v>
      </c>
      <c r="E38" s="21" t="s">
        <v>112</v>
      </c>
      <c r="F38" s="27" t="s">
        <v>113</v>
      </c>
      <c r="G38" s="28" t="s">
        <v>147</v>
      </c>
      <c r="H38" s="21" t="s">
        <v>148</v>
      </c>
      <c r="I38" s="21" t="n">
        <v>650</v>
      </c>
      <c r="J38" s="21" t="s">
        <v>116</v>
      </c>
      <c r="K38" s="24"/>
      <c r="L38" s="24"/>
      <c r="M38" s="24"/>
      <c r="N38" s="24"/>
      <c r="O38" s="24"/>
    </row>
    <row r="39" customFormat="false" ht="23.85" hidden="false" customHeight="false" outlineLevel="0" collapsed="false">
      <c r="A39" s="20" t="n">
        <v>46348</v>
      </c>
      <c r="B39" s="21" t="n">
        <v>3</v>
      </c>
      <c r="C39" s="21" t="s">
        <v>111</v>
      </c>
      <c r="D39" s="21" t="s">
        <v>97</v>
      </c>
      <c r="E39" s="21" t="s">
        <v>117</v>
      </c>
      <c r="F39" s="22" t="s">
        <v>99</v>
      </c>
      <c r="G39" s="23" t="s">
        <v>118</v>
      </c>
      <c r="H39" s="21" t="s">
        <v>119</v>
      </c>
      <c r="I39" s="21" t="n">
        <v>30</v>
      </c>
      <c r="J39" s="21" t="s">
        <v>102</v>
      </c>
      <c r="K39" s="24"/>
      <c r="L39" s="24"/>
      <c r="M39" s="24"/>
      <c r="N39" s="24"/>
      <c r="O39" s="24"/>
    </row>
    <row r="40" customFormat="false" ht="57.45" hidden="false" customHeight="false" outlineLevel="0" collapsed="false">
      <c r="A40" s="20" t="n">
        <v>46349</v>
      </c>
      <c r="B40" s="21" t="n">
        <v>4</v>
      </c>
      <c r="C40" s="21" t="s">
        <v>120</v>
      </c>
      <c r="D40" s="21" t="s">
        <v>97</v>
      </c>
      <c r="E40" s="21" t="s">
        <v>98</v>
      </c>
      <c r="F40" s="22" t="s">
        <v>99</v>
      </c>
      <c r="G40" s="23" t="s">
        <v>100</v>
      </c>
      <c r="H40" s="21" t="s">
        <v>101</v>
      </c>
      <c r="I40" s="21" t="n">
        <v>40</v>
      </c>
      <c r="J40" s="21" t="s">
        <v>102</v>
      </c>
      <c r="K40" s="24"/>
      <c r="L40" s="24"/>
      <c r="M40" s="24"/>
      <c r="N40" s="24"/>
      <c r="O40" s="24"/>
    </row>
    <row r="41" customFormat="false" ht="91" hidden="false" customHeight="false" outlineLevel="0" collapsed="false">
      <c r="A41" s="20" t="n">
        <v>46350</v>
      </c>
      <c r="B41" s="21" t="n">
        <v>4</v>
      </c>
      <c r="C41" s="21" t="s">
        <v>121</v>
      </c>
      <c r="D41" s="21" t="s">
        <v>97</v>
      </c>
      <c r="E41" s="21" t="s">
        <v>104</v>
      </c>
      <c r="F41" s="25" t="s">
        <v>105</v>
      </c>
      <c r="G41" s="26" t="s">
        <v>149</v>
      </c>
      <c r="H41" s="21" t="s">
        <v>150</v>
      </c>
      <c r="I41" s="21" t="n">
        <v>25</v>
      </c>
      <c r="J41" s="21" t="s">
        <v>102</v>
      </c>
      <c r="K41" s="24"/>
      <c r="L41" s="24"/>
      <c r="M41" s="24"/>
      <c r="N41" s="24"/>
      <c r="O41" s="24"/>
    </row>
    <row r="42" customFormat="false" ht="102.2" hidden="false" customHeight="false" outlineLevel="0" collapsed="false">
      <c r="A42" s="20" t="n">
        <v>46350</v>
      </c>
      <c r="B42" s="21" t="n">
        <v>4</v>
      </c>
      <c r="C42" s="21" t="s">
        <v>121</v>
      </c>
      <c r="D42" s="21" t="s">
        <v>97</v>
      </c>
      <c r="E42" s="21" t="s">
        <v>112</v>
      </c>
      <c r="F42" s="29" t="s">
        <v>122</v>
      </c>
      <c r="G42" s="30" t="s">
        <v>123</v>
      </c>
      <c r="H42" s="21" t="s">
        <v>151</v>
      </c>
      <c r="I42" s="21" t="n">
        <v>25</v>
      </c>
      <c r="J42" s="21" t="s">
        <v>102</v>
      </c>
      <c r="K42" s="24"/>
      <c r="L42" s="24"/>
      <c r="M42" s="24"/>
      <c r="N42" s="24"/>
      <c r="O42" s="24"/>
    </row>
    <row r="43" customFormat="false" ht="124.6" hidden="false" customHeight="false" outlineLevel="0" collapsed="false">
      <c r="A43" s="20" t="n">
        <v>46351</v>
      </c>
      <c r="B43" s="21" t="n">
        <v>4</v>
      </c>
      <c r="C43" s="21" t="s">
        <v>125</v>
      </c>
      <c r="D43" s="21" t="s">
        <v>97</v>
      </c>
      <c r="E43" s="21" t="s">
        <v>126</v>
      </c>
      <c r="F43" s="29" t="s">
        <v>122</v>
      </c>
      <c r="G43" s="30" t="s">
        <v>127</v>
      </c>
      <c r="H43" s="21" t="s">
        <v>152</v>
      </c>
      <c r="I43" s="21" t="n">
        <v>30</v>
      </c>
      <c r="J43" s="21" t="s">
        <v>102</v>
      </c>
      <c r="K43" s="24"/>
      <c r="L43" s="24"/>
      <c r="M43" s="24"/>
      <c r="N43" s="24"/>
      <c r="O43" s="24"/>
    </row>
    <row r="44" customFormat="false" ht="68.65" hidden="false" customHeight="false" outlineLevel="0" collapsed="false">
      <c r="A44" s="20" t="n">
        <v>46351</v>
      </c>
      <c r="B44" s="21" t="n">
        <v>4</v>
      </c>
      <c r="C44" s="21" t="s">
        <v>125</v>
      </c>
      <c r="D44" s="21" t="s">
        <v>97</v>
      </c>
      <c r="E44" s="21" t="s">
        <v>112</v>
      </c>
      <c r="F44" s="27" t="s">
        <v>113</v>
      </c>
      <c r="G44" s="28" t="s">
        <v>153</v>
      </c>
      <c r="H44" s="21" t="s">
        <v>154</v>
      </c>
      <c r="I44" s="21" t="n">
        <v>700</v>
      </c>
      <c r="J44" s="21" t="s">
        <v>116</v>
      </c>
      <c r="K44" s="24"/>
      <c r="L44" s="24"/>
      <c r="M44" s="24"/>
      <c r="N44" s="24"/>
      <c r="O44" s="24"/>
    </row>
    <row r="45" customFormat="false" ht="57.45" hidden="false" customHeight="false" outlineLevel="0" collapsed="false">
      <c r="A45" s="20" t="n">
        <v>46352</v>
      </c>
      <c r="B45" s="21" t="n">
        <v>4</v>
      </c>
      <c r="C45" s="21" t="s">
        <v>96</v>
      </c>
      <c r="D45" s="21" t="s">
        <v>97</v>
      </c>
      <c r="E45" s="21" t="s">
        <v>98</v>
      </c>
      <c r="F45" s="22" t="s">
        <v>99</v>
      </c>
      <c r="G45" s="23" t="s">
        <v>100</v>
      </c>
      <c r="H45" s="21" t="s">
        <v>101</v>
      </c>
      <c r="I45" s="21" t="n">
        <v>40</v>
      </c>
      <c r="J45" s="21" t="s">
        <v>102</v>
      </c>
      <c r="K45" s="24"/>
      <c r="L45" s="24"/>
      <c r="M45" s="24"/>
      <c r="N45" s="24"/>
      <c r="O45" s="24"/>
    </row>
    <row r="46" customFormat="false" ht="91" hidden="false" customHeight="false" outlineLevel="0" collapsed="false">
      <c r="A46" s="20" t="n">
        <v>46353</v>
      </c>
      <c r="B46" s="21" t="n">
        <v>4</v>
      </c>
      <c r="C46" s="21" t="s">
        <v>103</v>
      </c>
      <c r="D46" s="21" t="s">
        <v>97</v>
      </c>
      <c r="E46" s="21" t="s">
        <v>104</v>
      </c>
      <c r="F46" s="25" t="s">
        <v>105</v>
      </c>
      <c r="G46" s="26" t="s">
        <v>155</v>
      </c>
      <c r="H46" s="21" t="s">
        <v>156</v>
      </c>
      <c r="I46" s="21" t="n">
        <v>50</v>
      </c>
      <c r="J46" s="21" t="s">
        <v>102</v>
      </c>
      <c r="K46" s="24"/>
      <c r="L46" s="24"/>
      <c r="M46" s="24"/>
      <c r="N46" s="24"/>
      <c r="O46" s="24"/>
    </row>
    <row r="47" customFormat="false" ht="102.2" hidden="false" customHeight="false" outlineLevel="0" collapsed="false">
      <c r="A47" s="20" t="n">
        <v>46354</v>
      </c>
      <c r="B47" s="21" t="n">
        <v>4</v>
      </c>
      <c r="C47" s="21" t="s">
        <v>108</v>
      </c>
      <c r="D47" s="21" t="s">
        <v>97</v>
      </c>
      <c r="E47" s="21" t="s">
        <v>104</v>
      </c>
      <c r="F47" s="25" t="s">
        <v>105</v>
      </c>
      <c r="G47" s="26" t="s">
        <v>131</v>
      </c>
      <c r="H47" s="21" t="s">
        <v>157</v>
      </c>
      <c r="I47" s="21" t="n">
        <v>45</v>
      </c>
      <c r="J47" s="21" t="s">
        <v>102</v>
      </c>
      <c r="K47" s="24"/>
      <c r="L47" s="24"/>
      <c r="M47" s="24"/>
      <c r="N47" s="24"/>
      <c r="O47" s="24"/>
    </row>
    <row r="48" customFormat="false" ht="79.85" hidden="false" customHeight="false" outlineLevel="0" collapsed="false">
      <c r="A48" s="20" t="n">
        <v>46355</v>
      </c>
      <c r="B48" s="21" t="n">
        <v>4</v>
      </c>
      <c r="C48" s="21" t="s">
        <v>111</v>
      </c>
      <c r="D48" s="21" t="s">
        <v>97</v>
      </c>
      <c r="E48" s="21" t="s">
        <v>112</v>
      </c>
      <c r="F48" s="27" t="s">
        <v>113</v>
      </c>
      <c r="G48" s="28" t="s">
        <v>158</v>
      </c>
      <c r="H48" s="21" t="s">
        <v>159</v>
      </c>
      <c r="I48" s="21" t="n">
        <v>700</v>
      </c>
      <c r="J48" s="21" t="s">
        <v>116</v>
      </c>
      <c r="K48" s="24"/>
      <c r="L48" s="24"/>
      <c r="M48" s="24"/>
      <c r="N48" s="24"/>
      <c r="O48" s="24"/>
    </row>
    <row r="49" customFormat="false" ht="23.85" hidden="false" customHeight="false" outlineLevel="0" collapsed="false">
      <c r="A49" s="20" t="n">
        <v>46355</v>
      </c>
      <c r="B49" s="21" t="n">
        <v>4</v>
      </c>
      <c r="C49" s="21" t="s">
        <v>111</v>
      </c>
      <c r="D49" s="21" t="s">
        <v>97</v>
      </c>
      <c r="E49" s="21" t="s">
        <v>117</v>
      </c>
      <c r="F49" s="22" t="s">
        <v>99</v>
      </c>
      <c r="G49" s="23" t="s">
        <v>118</v>
      </c>
      <c r="H49" s="21" t="s">
        <v>119</v>
      </c>
      <c r="I49" s="21" t="n">
        <v>30</v>
      </c>
      <c r="J49" s="21" t="s">
        <v>102</v>
      </c>
      <c r="K49" s="24"/>
      <c r="L49" s="24"/>
      <c r="M49" s="24"/>
      <c r="N49" s="24"/>
      <c r="O49" s="24"/>
    </row>
    <row r="50" customFormat="false" ht="57.45" hidden="false" customHeight="false" outlineLevel="0" collapsed="false">
      <c r="A50" s="31" t="n">
        <v>46356</v>
      </c>
      <c r="B50" s="32" t="n">
        <v>5</v>
      </c>
      <c r="C50" s="32" t="s">
        <v>120</v>
      </c>
      <c r="D50" s="32" t="s">
        <v>49</v>
      </c>
      <c r="E50" s="32" t="s">
        <v>98</v>
      </c>
      <c r="F50" s="33" t="s">
        <v>99</v>
      </c>
      <c r="G50" s="34" t="s">
        <v>160</v>
      </c>
      <c r="H50" s="32" t="s">
        <v>161</v>
      </c>
      <c r="I50" s="32" t="n">
        <v>50</v>
      </c>
      <c r="J50" s="32" t="s">
        <v>102</v>
      </c>
      <c r="K50" s="24"/>
      <c r="L50" s="24"/>
      <c r="M50" s="24"/>
      <c r="N50" s="24"/>
      <c r="O50" s="24"/>
    </row>
    <row r="51" customFormat="false" ht="91" hidden="false" customHeight="false" outlineLevel="0" collapsed="false">
      <c r="A51" s="31" t="n">
        <v>46357</v>
      </c>
      <c r="B51" s="32" t="n">
        <v>5</v>
      </c>
      <c r="C51" s="32" t="s">
        <v>121</v>
      </c>
      <c r="D51" s="32" t="s">
        <v>49</v>
      </c>
      <c r="E51" s="32" t="s">
        <v>104</v>
      </c>
      <c r="F51" s="35" t="s">
        <v>105</v>
      </c>
      <c r="G51" s="36" t="s">
        <v>162</v>
      </c>
      <c r="H51" s="32" t="s">
        <v>163</v>
      </c>
      <c r="I51" s="32" t="n">
        <v>40</v>
      </c>
      <c r="J51" s="32" t="s">
        <v>102</v>
      </c>
      <c r="K51" s="24"/>
      <c r="L51" s="24"/>
      <c r="M51" s="24"/>
      <c r="N51" s="24"/>
      <c r="O51" s="24"/>
    </row>
    <row r="52" customFormat="false" ht="102.2" hidden="false" customHeight="false" outlineLevel="0" collapsed="false">
      <c r="A52" s="31" t="n">
        <v>46357</v>
      </c>
      <c r="B52" s="32" t="n">
        <v>5</v>
      </c>
      <c r="C52" s="32" t="s">
        <v>121</v>
      </c>
      <c r="D52" s="32" t="s">
        <v>49</v>
      </c>
      <c r="E52" s="32" t="s">
        <v>112</v>
      </c>
      <c r="F52" s="37" t="s">
        <v>122</v>
      </c>
      <c r="G52" s="38" t="s">
        <v>123</v>
      </c>
      <c r="H52" s="32" t="s">
        <v>124</v>
      </c>
      <c r="I52" s="32" t="n">
        <v>25</v>
      </c>
      <c r="J52" s="32" t="s">
        <v>102</v>
      </c>
      <c r="K52" s="24"/>
      <c r="L52" s="24"/>
      <c r="M52" s="24"/>
      <c r="N52" s="24"/>
      <c r="O52" s="24"/>
    </row>
    <row r="53" customFormat="false" ht="124.6" hidden="false" customHeight="false" outlineLevel="0" collapsed="false">
      <c r="A53" s="31" t="n">
        <v>46358</v>
      </c>
      <c r="B53" s="32" t="n">
        <v>5</v>
      </c>
      <c r="C53" s="32" t="s">
        <v>125</v>
      </c>
      <c r="D53" s="32" t="s">
        <v>49</v>
      </c>
      <c r="E53" s="32" t="s">
        <v>126</v>
      </c>
      <c r="F53" s="37" t="s">
        <v>122</v>
      </c>
      <c r="G53" s="38" t="s">
        <v>127</v>
      </c>
      <c r="H53" s="32" t="s">
        <v>128</v>
      </c>
      <c r="I53" s="32" t="n">
        <v>30</v>
      </c>
      <c r="J53" s="32" t="s">
        <v>102</v>
      </c>
      <c r="K53" s="24"/>
      <c r="L53" s="24"/>
      <c r="M53" s="24"/>
      <c r="N53" s="24"/>
      <c r="O53" s="24"/>
    </row>
    <row r="54" customFormat="false" ht="68.65" hidden="false" customHeight="false" outlineLevel="0" collapsed="false">
      <c r="A54" s="31" t="n">
        <v>46358</v>
      </c>
      <c r="B54" s="32" t="n">
        <v>5</v>
      </c>
      <c r="C54" s="32" t="s">
        <v>125</v>
      </c>
      <c r="D54" s="32" t="s">
        <v>49</v>
      </c>
      <c r="E54" s="32" t="s">
        <v>112</v>
      </c>
      <c r="F54" s="39" t="s">
        <v>113</v>
      </c>
      <c r="G54" s="40" t="s">
        <v>164</v>
      </c>
      <c r="H54" s="32" t="s">
        <v>165</v>
      </c>
      <c r="I54" s="32" t="n">
        <v>900</v>
      </c>
      <c r="J54" s="32" t="s">
        <v>116</v>
      </c>
      <c r="K54" s="24"/>
      <c r="L54" s="24"/>
      <c r="M54" s="24"/>
      <c r="N54" s="24"/>
      <c r="O54" s="24"/>
    </row>
    <row r="55" customFormat="false" ht="57.45" hidden="false" customHeight="false" outlineLevel="0" collapsed="false">
      <c r="A55" s="31" t="n">
        <v>46359</v>
      </c>
      <c r="B55" s="32" t="n">
        <v>5</v>
      </c>
      <c r="C55" s="32" t="s">
        <v>96</v>
      </c>
      <c r="D55" s="32" t="s">
        <v>49</v>
      </c>
      <c r="E55" s="32" t="s">
        <v>98</v>
      </c>
      <c r="F55" s="33" t="s">
        <v>99</v>
      </c>
      <c r="G55" s="34" t="s">
        <v>160</v>
      </c>
      <c r="H55" s="32" t="s">
        <v>161</v>
      </c>
      <c r="I55" s="32" t="n">
        <v>50</v>
      </c>
      <c r="J55" s="32" t="s">
        <v>102</v>
      </c>
      <c r="K55" s="24"/>
      <c r="L55" s="24"/>
      <c r="M55" s="24"/>
      <c r="N55" s="24"/>
      <c r="O55" s="24"/>
    </row>
    <row r="56" customFormat="false" ht="102.2" hidden="false" customHeight="false" outlineLevel="0" collapsed="false">
      <c r="A56" s="31" t="n">
        <v>46360</v>
      </c>
      <c r="B56" s="32" t="n">
        <v>5</v>
      </c>
      <c r="C56" s="32" t="s">
        <v>103</v>
      </c>
      <c r="D56" s="32" t="s">
        <v>49</v>
      </c>
      <c r="E56" s="32" t="s">
        <v>104</v>
      </c>
      <c r="F56" s="35" t="s">
        <v>105</v>
      </c>
      <c r="G56" s="36" t="s">
        <v>166</v>
      </c>
      <c r="H56" s="32" t="s">
        <v>167</v>
      </c>
      <c r="I56" s="32" t="n">
        <v>35</v>
      </c>
      <c r="J56" s="32" t="s">
        <v>102</v>
      </c>
      <c r="K56" s="24"/>
      <c r="L56" s="24"/>
      <c r="M56" s="24"/>
      <c r="N56" s="24"/>
      <c r="O56" s="24"/>
    </row>
    <row r="57" customFormat="false" ht="102.2" hidden="false" customHeight="false" outlineLevel="0" collapsed="false">
      <c r="A57" s="31" t="n">
        <v>46361</v>
      </c>
      <c r="B57" s="32" t="n">
        <v>5</v>
      </c>
      <c r="C57" s="32" t="s">
        <v>108</v>
      </c>
      <c r="D57" s="32" t="s">
        <v>49</v>
      </c>
      <c r="E57" s="32" t="s">
        <v>104</v>
      </c>
      <c r="F57" s="35" t="s">
        <v>105</v>
      </c>
      <c r="G57" s="36" t="s">
        <v>168</v>
      </c>
      <c r="H57" s="32" t="s">
        <v>169</v>
      </c>
      <c r="I57" s="32" t="n">
        <v>70</v>
      </c>
      <c r="J57" s="32" t="s">
        <v>102</v>
      </c>
      <c r="K57" s="24"/>
      <c r="L57" s="24"/>
      <c r="M57" s="24"/>
      <c r="N57" s="24"/>
      <c r="O57" s="24"/>
    </row>
    <row r="58" customFormat="false" ht="79.85" hidden="false" customHeight="false" outlineLevel="0" collapsed="false">
      <c r="A58" s="31" t="n">
        <v>46362</v>
      </c>
      <c r="B58" s="32" t="n">
        <v>5</v>
      </c>
      <c r="C58" s="32" t="s">
        <v>111</v>
      </c>
      <c r="D58" s="32" t="s">
        <v>49</v>
      </c>
      <c r="E58" s="32" t="s">
        <v>112</v>
      </c>
      <c r="F58" s="39" t="s">
        <v>113</v>
      </c>
      <c r="G58" s="40" t="s">
        <v>170</v>
      </c>
      <c r="H58" s="32" t="s">
        <v>171</v>
      </c>
      <c r="I58" s="32" t="n">
        <v>750</v>
      </c>
      <c r="J58" s="32" t="s">
        <v>116</v>
      </c>
      <c r="K58" s="24"/>
      <c r="L58" s="24"/>
      <c r="M58" s="24"/>
      <c r="N58" s="24"/>
      <c r="O58" s="24"/>
    </row>
    <row r="59" customFormat="false" ht="23.85" hidden="false" customHeight="false" outlineLevel="0" collapsed="false">
      <c r="A59" s="31" t="n">
        <v>46362</v>
      </c>
      <c r="B59" s="32" t="n">
        <v>5</v>
      </c>
      <c r="C59" s="32" t="s">
        <v>111</v>
      </c>
      <c r="D59" s="32" t="s">
        <v>49</v>
      </c>
      <c r="E59" s="32" t="s">
        <v>117</v>
      </c>
      <c r="F59" s="33" t="s">
        <v>99</v>
      </c>
      <c r="G59" s="34" t="s">
        <v>118</v>
      </c>
      <c r="H59" s="32" t="s">
        <v>119</v>
      </c>
      <c r="I59" s="32" t="n">
        <v>30</v>
      </c>
      <c r="J59" s="32" t="s">
        <v>102</v>
      </c>
      <c r="K59" s="24"/>
      <c r="L59" s="24"/>
      <c r="M59" s="24"/>
      <c r="N59" s="24"/>
      <c r="O59" s="24"/>
    </row>
    <row r="60" customFormat="false" ht="57.45" hidden="false" customHeight="false" outlineLevel="0" collapsed="false">
      <c r="A60" s="31" t="n">
        <v>46363</v>
      </c>
      <c r="B60" s="32" t="n">
        <v>6</v>
      </c>
      <c r="C60" s="32" t="s">
        <v>120</v>
      </c>
      <c r="D60" s="32" t="s">
        <v>49</v>
      </c>
      <c r="E60" s="32" t="s">
        <v>98</v>
      </c>
      <c r="F60" s="33" t="s">
        <v>99</v>
      </c>
      <c r="G60" s="34" t="s">
        <v>160</v>
      </c>
      <c r="H60" s="32" t="s">
        <v>161</v>
      </c>
      <c r="I60" s="32" t="n">
        <v>50</v>
      </c>
      <c r="J60" s="32" t="s">
        <v>102</v>
      </c>
      <c r="K60" s="24"/>
      <c r="L60" s="24"/>
      <c r="M60" s="24"/>
      <c r="N60" s="24"/>
      <c r="O60" s="24"/>
    </row>
    <row r="61" customFormat="false" ht="91" hidden="false" customHeight="false" outlineLevel="0" collapsed="false">
      <c r="A61" s="31" t="n">
        <v>46364</v>
      </c>
      <c r="B61" s="32" t="n">
        <v>6</v>
      </c>
      <c r="C61" s="32" t="s">
        <v>121</v>
      </c>
      <c r="D61" s="32" t="s">
        <v>49</v>
      </c>
      <c r="E61" s="32" t="s">
        <v>104</v>
      </c>
      <c r="F61" s="35" t="s">
        <v>105</v>
      </c>
      <c r="G61" s="36" t="s">
        <v>162</v>
      </c>
      <c r="H61" s="32" t="s">
        <v>172</v>
      </c>
      <c r="I61" s="32" t="n">
        <v>40</v>
      </c>
      <c r="J61" s="32" t="s">
        <v>102</v>
      </c>
      <c r="K61" s="24"/>
      <c r="L61" s="24"/>
      <c r="M61" s="24"/>
      <c r="N61" s="24"/>
      <c r="O61" s="24"/>
    </row>
    <row r="62" customFormat="false" ht="102.2" hidden="false" customHeight="false" outlineLevel="0" collapsed="false">
      <c r="A62" s="31" t="n">
        <v>46364</v>
      </c>
      <c r="B62" s="32" t="n">
        <v>6</v>
      </c>
      <c r="C62" s="32" t="s">
        <v>121</v>
      </c>
      <c r="D62" s="32" t="s">
        <v>49</v>
      </c>
      <c r="E62" s="32" t="s">
        <v>112</v>
      </c>
      <c r="F62" s="37" t="s">
        <v>122</v>
      </c>
      <c r="G62" s="38" t="s">
        <v>123</v>
      </c>
      <c r="H62" s="32" t="s">
        <v>124</v>
      </c>
      <c r="I62" s="32" t="n">
        <v>25</v>
      </c>
      <c r="J62" s="32" t="s">
        <v>102</v>
      </c>
      <c r="K62" s="24"/>
      <c r="L62" s="24"/>
      <c r="M62" s="24"/>
      <c r="N62" s="24"/>
      <c r="O62" s="24"/>
    </row>
    <row r="63" customFormat="false" ht="124.6" hidden="false" customHeight="false" outlineLevel="0" collapsed="false">
      <c r="A63" s="31" t="n">
        <v>46365</v>
      </c>
      <c r="B63" s="32" t="n">
        <v>6</v>
      </c>
      <c r="C63" s="32" t="s">
        <v>125</v>
      </c>
      <c r="D63" s="32" t="s">
        <v>49</v>
      </c>
      <c r="E63" s="32" t="s">
        <v>126</v>
      </c>
      <c r="F63" s="37" t="s">
        <v>122</v>
      </c>
      <c r="G63" s="38" t="s">
        <v>127</v>
      </c>
      <c r="H63" s="32" t="s">
        <v>128</v>
      </c>
      <c r="I63" s="32" t="n">
        <v>30</v>
      </c>
      <c r="J63" s="32" t="s">
        <v>102</v>
      </c>
      <c r="K63" s="24"/>
      <c r="L63" s="24"/>
      <c r="M63" s="24"/>
      <c r="N63" s="24"/>
      <c r="O63" s="24"/>
    </row>
    <row r="64" customFormat="false" ht="68.65" hidden="false" customHeight="false" outlineLevel="0" collapsed="false">
      <c r="A64" s="31" t="n">
        <v>46365</v>
      </c>
      <c r="B64" s="32" t="n">
        <v>6</v>
      </c>
      <c r="C64" s="32" t="s">
        <v>125</v>
      </c>
      <c r="D64" s="32" t="s">
        <v>49</v>
      </c>
      <c r="E64" s="32" t="s">
        <v>112</v>
      </c>
      <c r="F64" s="39" t="s">
        <v>113</v>
      </c>
      <c r="G64" s="40" t="s">
        <v>173</v>
      </c>
      <c r="H64" s="32" t="s">
        <v>174</v>
      </c>
      <c r="I64" s="32" t="n">
        <v>900</v>
      </c>
      <c r="J64" s="32" t="s">
        <v>116</v>
      </c>
      <c r="K64" s="24"/>
      <c r="L64" s="24"/>
      <c r="M64" s="24"/>
      <c r="N64" s="24"/>
      <c r="O64" s="24"/>
    </row>
    <row r="65" customFormat="false" ht="57.45" hidden="false" customHeight="false" outlineLevel="0" collapsed="false">
      <c r="A65" s="31" t="n">
        <v>46366</v>
      </c>
      <c r="B65" s="32" t="n">
        <v>6</v>
      </c>
      <c r="C65" s="32" t="s">
        <v>96</v>
      </c>
      <c r="D65" s="32" t="s">
        <v>49</v>
      </c>
      <c r="E65" s="32" t="s">
        <v>98</v>
      </c>
      <c r="F65" s="33" t="s">
        <v>99</v>
      </c>
      <c r="G65" s="34" t="s">
        <v>160</v>
      </c>
      <c r="H65" s="32" t="s">
        <v>161</v>
      </c>
      <c r="I65" s="32" t="n">
        <v>50</v>
      </c>
      <c r="J65" s="32" t="s">
        <v>102</v>
      </c>
      <c r="K65" s="24"/>
      <c r="L65" s="24"/>
      <c r="M65" s="24"/>
      <c r="N65" s="24"/>
      <c r="O65" s="24"/>
    </row>
    <row r="66" customFormat="false" ht="102.2" hidden="false" customHeight="false" outlineLevel="0" collapsed="false">
      <c r="A66" s="31" t="n">
        <v>46367</v>
      </c>
      <c r="B66" s="32" t="n">
        <v>6</v>
      </c>
      <c r="C66" s="32" t="s">
        <v>103</v>
      </c>
      <c r="D66" s="32" t="s">
        <v>49</v>
      </c>
      <c r="E66" s="32" t="s">
        <v>104</v>
      </c>
      <c r="F66" s="35" t="s">
        <v>105</v>
      </c>
      <c r="G66" s="36" t="s">
        <v>175</v>
      </c>
      <c r="H66" s="32" t="s">
        <v>176</v>
      </c>
      <c r="I66" s="32" t="n">
        <v>40</v>
      </c>
      <c r="J66" s="32" t="s">
        <v>102</v>
      </c>
      <c r="K66" s="24"/>
      <c r="L66" s="24"/>
      <c r="M66" s="24"/>
      <c r="N66" s="24"/>
      <c r="O66" s="24"/>
    </row>
    <row r="67" customFormat="false" ht="102.2" hidden="false" customHeight="false" outlineLevel="0" collapsed="false">
      <c r="A67" s="31" t="n">
        <v>46368</v>
      </c>
      <c r="B67" s="32" t="n">
        <v>6</v>
      </c>
      <c r="C67" s="32" t="s">
        <v>108</v>
      </c>
      <c r="D67" s="32" t="s">
        <v>49</v>
      </c>
      <c r="E67" s="32" t="s">
        <v>104</v>
      </c>
      <c r="F67" s="35" t="s">
        <v>105</v>
      </c>
      <c r="G67" s="36" t="s">
        <v>177</v>
      </c>
      <c r="H67" s="32" t="s">
        <v>178</v>
      </c>
      <c r="I67" s="32" t="n">
        <v>80</v>
      </c>
      <c r="J67" s="32" t="s">
        <v>102</v>
      </c>
      <c r="K67" s="24"/>
      <c r="L67" s="24"/>
      <c r="M67" s="24"/>
      <c r="N67" s="24"/>
      <c r="O67" s="24"/>
    </row>
    <row r="68" customFormat="false" ht="79.85" hidden="false" customHeight="false" outlineLevel="0" collapsed="false">
      <c r="A68" s="31" t="n">
        <v>46369</v>
      </c>
      <c r="B68" s="32" t="n">
        <v>6</v>
      </c>
      <c r="C68" s="32" t="s">
        <v>111</v>
      </c>
      <c r="D68" s="32" t="s">
        <v>49</v>
      </c>
      <c r="E68" s="32" t="s">
        <v>112</v>
      </c>
      <c r="F68" s="39" t="s">
        <v>113</v>
      </c>
      <c r="G68" s="40" t="s">
        <v>179</v>
      </c>
      <c r="H68" s="32" t="s">
        <v>180</v>
      </c>
      <c r="I68" s="32" t="n">
        <v>800</v>
      </c>
      <c r="J68" s="32" t="s">
        <v>116</v>
      </c>
      <c r="K68" s="24"/>
      <c r="L68" s="24"/>
      <c r="M68" s="24"/>
      <c r="N68" s="24"/>
      <c r="O68" s="24"/>
    </row>
    <row r="69" customFormat="false" ht="23.85" hidden="false" customHeight="false" outlineLevel="0" collapsed="false">
      <c r="A69" s="31" t="n">
        <v>46369</v>
      </c>
      <c r="B69" s="32" t="n">
        <v>6</v>
      </c>
      <c r="C69" s="32" t="s">
        <v>111</v>
      </c>
      <c r="D69" s="32" t="s">
        <v>49</v>
      </c>
      <c r="E69" s="32" t="s">
        <v>117</v>
      </c>
      <c r="F69" s="33" t="s">
        <v>99</v>
      </c>
      <c r="G69" s="34" t="s">
        <v>118</v>
      </c>
      <c r="H69" s="32" t="s">
        <v>119</v>
      </c>
      <c r="I69" s="32" t="n">
        <v>30</v>
      </c>
      <c r="J69" s="32" t="s">
        <v>102</v>
      </c>
      <c r="K69" s="24"/>
      <c r="L69" s="24"/>
      <c r="M69" s="24"/>
      <c r="N69" s="24"/>
      <c r="O69" s="24"/>
    </row>
    <row r="70" customFormat="false" ht="57.45" hidden="false" customHeight="false" outlineLevel="0" collapsed="false">
      <c r="A70" s="31" t="n">
        <v>46370</v>
      </c>
      <c r="B70" s="32" t="n">
        <v>7</v>
      </c>
      <c r="C70" s="32" t="s">
        <v>120</v>
      </c>
      <c r="D70" s="32" t="s">
        <v>49</v>
      </c>
      <c r="E70" s="32" t="s">
        <v>98</v>
      </c>
      <c r="F70" s="33" t="s">
        <v>99</v>
      </c>
      <c r="G70" s="34" t="s">
        <v>160</v>
      </c>
      <c r="H70" s="32" t="s">
        <v>161</v>
      </c>
      <c r="I70" s="32" t="n">
        <v>50</v>
      </c>
      <c r="J70" s="32" t="s">
        <v>102</v>
      </c>
      <c r="K70" s="24"/>
      <c r="L70" s="24"/>
      <c r="M70" s="24"/>
      <c r="N70" s="24"/>
      <c r="O70" s="24"/>
    </row>
    <row r="71" customFormat="false" ht="91" hidden="false" customHeight="false" outlineLevel="0" collapsed="false">
      <c r="A71" s="31" t="n">
        <v>46371</v>
      </c>
      <c r="B71" s="32" t="n">
        <v>7</v>
      </c>
      <c r="C71" s="32" t="s">
        <v>121</v>
      </c>
      <c r="D71" s="32" t="s">
        <v>49</v>
      </c>
      <c r="E71" s="32" t="s">
        <v>104</v>
      </c>
      <c r="F71" s="35" t="s">
        <v>105</v>
      </c>
      <c r="G71" s="36" t="s">
        <v>181</v>
      </c>
      <c r="H71" s="32" t="s">
        <v>182</v>
      </c>
      <c r="I71" s="32" t="n">
        <v>45</v>
      </c>
      <c r="J71" s="32" t="s">
        <v>102</v>
      </c>
      <c r="K71" s="24"/>
      <c r="L71" s="24"/>
      <c r="M71" s="24"/>
      <c r="N71" s="24"/>
      <c r="O71" s="24"/>
    </row>
    <row r="72" customFormat="false" ht="102.2" hidden="false" customHeight="false" outlineLevel="0" collapsed="false">
      <c r="A72" s="31" t="n">
        <v>46371</v>
      </c>
      <c r="B72" s="32" t="n">
        <v>7</v>
      </c>
      <c r="C72" s="32" t="s">
        <v>121</v>
      </c>
      <c r="D72" s="32" t="s">
        <v>49</v>
      </c>
      <c r="E72" s="32" t="s">
        <v>112</v>
      </c>
      <c r="F72" s="37" t="s">
        <v>122</v>
      </c>
      <c r="G72" s="38" t="s">
        <v>123</v>
      </c>
      <c r="H72" s="32" t="s">
        <v>124</v>
      </c>
      <c r="I72" s="32" t="n">
        <v>25</v>
      </c>
      <c r="J72" s="32" t="s">
        <v>102</v>
      </c>
      <c r="K72" s="24"/>
      <c r="L72" s="24"/>
      <c r="M72" s="24"/>
      <c r="N72" s="24"/>
      <c r="O72" s="24"/>
    </row>
    <row r="73" customFormat="false" ht="124.6" hidden="false" customHeight="false" outlineLevel="0" collapsed="false">
      <c r="A73" s="31" t="n">
        <v>46372</v>
      </c>
      <c r="B73" s="32" t="n">
        <v>7</v>
      </c>
      <c r="C73" s="32" t="s">
        <v>125</v>
      </c>
      <c r="D73" s="32" t="s">
        <v>49</v>
      </c>
      <c r="E73" s="32" t="s">
        <v>126</v>
      </c>
      <c r="F73" s="37" t="s">
        <v>122</v>
      </c>
      <c r="G73" s="38" t="s">
        <v>127</v>
      </c>
      <c r="H73" s="32" t="s">
        <v>128</v>
      </c>
      <c r="I73" s="32" t="n">
        <v>30</v>
      </c>
      <c r="J73" s="32" t="s">
        <v>102</v>
      </c>
      <c r="K73" s="24"/>
      <c r="L73" s="24"/>
      <c r="M73" s="24"/>
      <c r="N73" s="24"/>
      <c r="O73" s="24"/>
    </row>
    <row r="74" customFormat="false" ht="68.65" hidden="false" customHeight="false" outlineLevel="0" collapsed="false">
      <c r="A74" s="31" t="n">
        <v>46372</v>
      </c>
      <c r="B74" s="32" t="n">
        <v>7</v>
      </c>
      <c r="C74" s="32" t="s">
        <v>125</v>
      </c>
      <c r="D74" s="32" t="s">
        <v>49</v>
      </c>
      <c r="E74" s="32" t="s">
        <v>112</v>
      </c>
      <c r="F74" s="39" t="s">
        <v>113</v>
      </c>
      <c r="G74" s="40" t="s">
        <v>183</v>
      </c>
      <c r="H74" s="32" t="s">
        <v>184</v>
      </c>
      <c r="I74" s="32" t="n">
        <v>1100</v>
      </c>
      <c r="J74" s="32" t="s">
        <v>116</v>
      </c>
      <c r="K74" s="24"/>
      <c r="L74" s="24"/>
      <c r="M74" s="24"/>
      <c r="N74" s="24"/>
      <c r="O74" s="24"/>
    </row>
    <row r="75" customFormat="false" ht="57.45" hidden="false" customHeight="false" outlineLevel="0" collapsed="false">
      <c r="A75" s="31" t="n">
        <v>46373</v>
      </c>
      <c r="B75" s="32" t="n">
        <v>7</v>
      </c>
      <c r="C75" s="32" t="s">
        <v>96</v>
      </c>
      <c r="D75" s="32" t="s">
        <v>49</v>
      </c>
      <c r="E75" s="32" t="s">
        <v>98</v>
      </c>
      <c r="F75" s="33" t="s">
        <v>99</v>
      </c>
      <c r="G75" s="34" t="s">
        <v>160</v>
      </c>
      <c r="H75" s="32" t="s">
        <v>161</v>
      </c>
      <c r="I75" s="32" t="n">
        <v>50</v>
      </c>
      <c r="J75" s="32" t="s">
        <v>102</v>
      </c>
      <c r="K75" s="24"/>
      <c r="L75" s="24"/>
      <c r="M75" s="24"/>
      <c r="N75" s="24"/>
      <c r="O75" s="24"/>
    </row>
    <row r="76" customFormat="false" ht="113.4" hidden="false" customHeight="false" outlineLevel="0" collapsed="false">
      <c r="A76" s="31" t="n">
        <v>46374</v>
      </c>
      <c r="B76" s="32" t="n">
        <v>7</v>
      </c>
      <c r="C76" s="32" t="s">
        <v>103</v>
      </c>
      <c r="D76" s="32" t="s">
        <v>49</v>
      </c>
      <c r="E76" s="32" t="s">
        <v>104</v>
      </c>
      <c r="F76" s="35" t="s">
        <v>105</v>
      </c>
      <c r="G76" s="36" t="s">
        <v>185</v>
      </c>
      <c r="H76" s="32" t="s">
        <v>186</v>
      </c>
      <c r="I76" s="32" t="n">
        <v>40</v>
      </c>
      <c r="J76" s="32" t="s">
        <v>102</v>
      </c>
      <c r="K76" s="24"/>
      <c r="L76" s="24"/>
      <c r="M76" s="24"/>
      <c r="N76" s="24"/>
      <c r="O76" s="24"/>
    </row>
    <row r="77" customFormat="false" ht="113.4" hidden="false" customHeight="false" outlineLevel="0" collapsed="false">
      <c r="A77" s="31" t="n">
        <v>46375</v>
      </c>
      <c r="B77" s="32" t="n">
        <v>7</v>
      </c>
      <c r="C77" s="32" t="s">
        <v>108</v>
      </c>
      <c r="D77" s="32" t="s">
        <v>49</v>
      </c>
      <c r="E77" s="32" t="s">
        <v>104</v>
      </c>
      <c r="F77" s="35" t="s">
        <v>105</v>
      </c>
      <c r="G77" s="36" t="s">
        <v>187</v>
      </c>
      <c r="H77" s="32" t="s">
        <v>188</v>
      </c>
      <c r="I77" s="32" t="n">
        <v>90</v>
      </c>
      <c r="J77" s="32" t="s">
        <v>102</v>
      </c>
      <c r="K77" s="24"/>
      <c r="L77" s="24"/>
      <c r="M77" s="24"/>
      <c r="N77" s="24"/>
      <c r="O77" s="24"/>
    </row>
    <row r="78" customFormat="false" ht="79.85" hidden="false" customHeight="false" outlineLevel="0" collapsed="false">
      <c r="A78" s="31" t="n">
        <v>46376</v>
      </c>
      <c r="B78" s="32" t="n">
        <v>7</v>
      </c>
      <c r="C78" s="32" t="s">
        <v>111</v>
      </c>
      <c r="D78" s="32" t="s">
        <v>49</v>
      </c>
      <c r="E78" s="32" t="s">
        <v>112</v>
      </c>
      <c r="F78" s="39" t="s">
        <v>113</v>
      </c>
      <c r="G78" s="40" t="s">
        <v>189</v>
      </c>
      <c r="H78" s="32" t="s">
        <v>190</v>
      </c>
      <c r="I78" s="32" t="n">
        <v>850</v>
      </c>
      <c r="J78" s="32" t="s">
        <v>116</v>
      </c>
      <c r="K78" s="24"/>
      <c r="L78" s="24"/>
      <c r="M78" s="24"/>
      <c r="N78" s="24"/>
      <c r="O78" s="24"/>
    </row>
    <row r="79" customFormat="false" ht="23.85" hidden="false" customHeight="false" outlineLevel="0" collapsed="false">
      <c r="A79" s="31" t="n">
        <v>46376</v>
      </c>
      <c r="B79" s="32" t="n">
        <v>7</v>
      </c>
      <c r="C79" s="32" t="s">
        <v>111</v>
      </c>
      <c r="D79" s="32" t="s">
        <v>49</v>
      </c>
      <c r="E79" s="32" t="s">
        <v>117</v>
      </c>
      <c r="F79" s="33" t="s">
        <v>99</v>
      </c>
      <c r="G79" s="34" t="s">
        <v>118</v>
      </c>
      <c r="H79" s="32" t="s">
        <v>119</v>
      </c>
      <c r="I79" s="32" t="n">
        <v>30</v>
      </c>
      <c r="J79" s="32" t="s">
        <v>102</v>
      </c>
      <c r="K79" s="24"/>
      <c r="L79" s="24"/>
      <c r="M79" s="24"/>
      <c r="N79" s="24"/>
      <c r="O79" s="24"/>
    </row>
    <row r="80" customFormat="false" ht="57.45" hidden="false" customHeight="false" outlineLevel="0" collapsed="false">
      <c r="A80" s="31" t="n">
        <v>46377</v>
      </c>
      <c r="B80" s="32" t="n">
        <v>8</v>
      </c>
      <c r="C80" s="32" t="s">
        <v>120</v>
      </c>
      <c r="D80" s="32" t="s">
        <v>49</v>
      </c>
      <c r="E80" s="32" t="s">
        <v>98</v>
      </c>
      <c r="F80" s="33" t="s">
        <v>99</v>
      </c>
      <c r="G80" s="34" t="s">
        <v>160</v>
      </c>
      <c r="H80" s="32" t="s">
        <v>161</v>
      </c>
      <c r="I80" s="32" t="n">
        <v>50</v>
      </c>
      <c r="J80" s="32" t="s">
        <v>102</v>
      </c>
      <c r="K80" s="24"/>
      <c r="L80" s="24"/>
      <c r="M80" s="24"/>
      <c r="N80" s="24"/>
      <c r="O80" s="24"/>
    </row>
    <row r="81" customFormat="false" ht="91" hidden="false" customHeight="false" outlineLevel="0" collapsed="false">
      <c r="A81" s="31" t="n">
        <v>46378</v>
      </c>
      <c r="B81" s="32" t="n">
        <v>8</v>
      </c>
      <c r="C81" s="32" t="s">
        <v>121</v>
      </c>
      <c r="D81" s="32" t="s">
        <v>49</v>
      </c>
      <c r="E81" s="32" t="s">
        <v>104</v>
      </c>
      <c r="F81" s="35" t="s">
        <v>105</v>
      </c>
      <c r="G81" s="36" t="s">
        <v>133</v>
      </c>
      <c r="H81" s="32" t="s">
        <v>191</v>
      </c>
      <c r="I81" s="32" t="n">
        <v>35</v>
      </c>
      <c r="J81" s="32" t="s">
        <v>102</v>
      </c>
      <c r="K81" s="24"/>
      <c r="L81" s="24"/>
      <c r="M81" s="24"/>
      <c r="N81" s="24"/>
      <c r="O81" s="24"/>
    </row>
    <row r="82" customFormat="false" ht="102.2" hidden="false" customHeight="false" outlineLevel="0" collapsed="false">
      <c r="A82" s="31" t="n">
        <v>46378</v>
      </c>
      <c r="B82" s="32" t="n">
        <v>8</v>
      </c>
      <c r="C82" s="32" t="s">
        <v>121</v>
      </c>
      <c r="D82" s="32" t="s">
        <v>49</v>
      </c>
      <c r="E82" s="32" t="s">
        <v>112</v>
      </c>
      <c r="F82" s="37" t="s">
        <v>122</v>
      </c>
      <c r="G82" s="38" t="s">
        <v>123</v>
      </c>
      <c r="H82" s="32" t="s">
        <v>151</v>
      </c>
      <c r="I82" s="32" t="n">
        <v>25</v>
      </c>
      <c r="J82" s="32" t="s">
        <v>102</v>
      </c>
      <c r="K82" s="24"/>
      <c r="L82" s="24"/>
      <c r="M82" s="24"/>
      <c r="N82" s="24"/>
      <c r="O82" s="24"/>
    </row>
    <row r="83" customFormat="false" ht="124.6" hidden="false" customHeight="false" outlineLevel="0" collapsed="false">
      <c r="A83" s="31" t="n">
        <v>46379</v>
      </c>
      <c r="B83" s="32" t="n">
        <v>8</v>
      </c>
      <c r="C83" s="32" t="s">
        <v>125</v>
      </c>
      <c r="D83" s="32" t="s">
        <v>49</v>
      </c>
      <c r="E83" s="32" t="s">
        <v>126</v>
      </c>
      <c r="F83" s="37" t="s">
        <v>122</v>
      </c>
      <c r="G83" s="38" t="s">
        <v>127</v>
      </c>
      <c r="H83" s="32" t="s">
        <v>152</v>
      </c>
      <c r="I83" s="32" t="n">
        <v>30</v>
      </c>
      <c r="J83" s="32" t="s">
        <v>102</v>
      </c>
      <c r="K83" s="24"/>
      <c r="L83" s="24"/>
      <c r="M83" s="24"/>
      <c r="N83" s="24"/>
      <c r="O83" s="24"/>
    </row>
    <row r="84" customFormat="false" ht="68.65" hidden="false" customHeight="false" outlineLevel="0" collapsed="false">
      <c r="A84" s="31" t="n">
        <v>46379</v>
      </c>
      <c r="B84" s="32" t="n">
        <v>8</v>
      </c>
      <c r="C84" s="32" t="s">
        <v>125</v>
      </c>
      <c r="D84" s="32" t="s">
        <v>49</v>
      </c>
      <c r="E84" s="32" t="s">
        <v>112</v>
      </c>
      <c r="F84" s="39" t="s">
        <v>113</v>
      </c>
      <c r="G84" s="40" t="s">
        <v>173</v>
      </c>
      <c r="H84" s="32" t="s">
        <v>192</v>
      </c>
      <c r="I84" s="32" t="n">
        <v>900</v>
      </c>
      <c r="J84" s="32" t="s">
        <v>116</v>
      </c>
      <c r="K84" s="24"/>
      <c r="L84" s="24"/>
      <c r="M84" s="24"/>
      <c r="N84" s="24"/>
      <c r="O84" s="24"/>
    </row>
    <row r="85" customFormat="false" ht="57.45" hidden="false" customHeight="false" outlineLevel="0" collapsed="false">
      <c r="A85" s="31" t="n">
        <v>46380</v>
      </c>
      <c r="B85" s="32" t="n">
        <v>8</v>
      </c>
      <c r="C85" s="32" t="s">
        <v>96</v>
      </c>
      <c r="D85" s="32" t="s">
        <v>49</v>
      </c>
      <c r="E85" s="32" t="s">
        <v>98</v>
      </c>
      <c r="F85" s="33" t="s">
        <v>99</v>
      </c>
      <c r="G85" s="34" t="s">
        <v>160</v>
      </c>
      <c r="H85" s="32" t="s">
        <v>161</v>
      </c>
      <c r="I85" s="32" t="n">
        <v>50</v>
      </c>
      <c r="J85" s="32" t="s">
        <v>102</v>
      </c>
      <c r="K85" s="24"/>
      <c r="L85" s="24"/>
      <c r="M85" s="24"/>
      <c r="N85" s="24"/>
      <c r="O85" s="24"/>
    </row>
    <row r="86" customFormat="false" ht="91" hidden="false" customHeight="false" outlineLevel="0" collapsed="false">
      <c r="A86" s="31" t="n">
        <v>46381</v>
      </c>
      <c r="B86" s="32" t="n">
        <v>8</v>
      </c>
      <c r="C86" s="32" t="s">
        <v>103</v>
      </c>
      <c r="D86" s="32" t="s">
        <v>49</v>
      </c>
      <c r="E86" s="32" t="s">
        <v>104</v>
      </c>
      <c r="F86" s="35" t="s">
        <v>105</v>
      </c>
      <c r="G86" s="36" t="s">
        <v>155</v>
      </c>
      <c r="H86" s="32" t="s">
        <v>156</v>
      </c>
      <c r="I86" s="32" t="n">
        <v>50</v>
      </c>
      <c r="J86" s="32" t="s">
        <v>102</v>
      </c>
      <c r="K86" s="24"/>
      <c r="L86" s="24"/>
      <c r="M86" s="24"/>
      <c r="N86" s="24"/>
      <c r="O86" s="24"/>
    </row>
    <row r="87" customFormat="false" ht="102.2" hidden="false" customHeight="false" outlineLevel="0" collapsed="false">
      <c r="A87" s="31" t="n">
        <v>46382</v>
      </c>
      <c r="B87" s="32" t="n">
        <v>8</v>
      </c>
      <c r="C87" s="32" t="s">
        <v>108</v>
      </c>
      <c r="D87" s="32" t="s">
        <v>49</v>
      </c>
      <c r="E87" s="32" t="s">
        <v>104</v>
      </c>
      <c r="F87" s="35" t="s">
        <v>105</v>
      </c>
      <c r="G87" s="36" t="s">
        <v>168</v>
      </c>
      <c r="H87" s="32" t="s">
        <v>193</v>
      </c>
      <c r="I87" s="32" t="n">
        <v>70</v>
      </c>
      <c r="J87" s="32" t="s">
        <v>102</v>
      </c>
      <c r="K87" s="24"/>
      <c r="L87" s="24"/>
      <c r="M87" s="24"/>
      <c r="N87" s="24"/>
      <c r="O87" s="24"/>
    </row>
    <row r="88" customFormat="false" ht="79.85" hidden="false" customHeight="false" outlineLevel="0" collapsed="false">
      <c r="A88" s="31" t="n">
        <v>46383</v>
      </c>
      <c r="B88" s="32" t="n">
        <v>8</v>
      </c>
      <c r="C88" s="32" t="s">
        <v>111</v>
      </c>
      <c r="D88" s="32" t="s">
        <v>49</v>
      </c>
      <c r="E88" s="32" t="s">
        <v>112</v>
      </c>
      <c r="F88" s="39" t="s">
        <v>113</v>
      </c>
      <c r="G88" s="40" t="s">
        <v>194</v>
      </c>
      <c r="H88" s="32" t="s">
        <v>195</v>
      </c>
      <c r="I88" s="32" t="n">
        <v>900</v>
      </c>
      <c r="J88" s="32" t="s">
        <v>116</v>
      </c>
      <c r="K88" s="24"/>
      <c r="L88" s="24"/>
      <c r="M88" s="24"/>
      <c r="N88" s="24"/>
      <c r="O88" s="24"/>
    </row>
    <row r="89" customFormat="false" ht="23.85" hidden="false" customHeight="false" outlineLevel="0" collapsed="false">
      <c r="A89" s="31" t="n">
        <v>46383</v>
      </c>
      <c r="B89" s="32" t="n">
        <v>8</v>
      </c>
      <c r="C89" s="32" t="s">
        <v>111</v>
      </c>
      <c r="D89" s="32" t="s">
        <v>49</v>
      </c>
      <c r="E89" s="32" t="s">
        <v>117</v>
      </c>
      <c r="F89" s="33" t="s">
        <v>99</v>
      </c>
      <c r="G89" s="34" t="s">
        <v>118</v>
      </c>
      <c r="H89" s="32" t="s">
        <v>119</v>
      </c>
      <c r="I89" s="32" t="n">
        <v>30</v>
      </c>
      <c r="J89" s="32" t="s">
        <v>102</v>
      </c>
      <c r="K89" s="24"/>
      <c r="L89" s="24"/>
      <c r="M89" s="24"/>
      <c r="N89" s="24"/>
      <c r="O89" s="24"/>
    </row>
    <row r="90" customFormat="false" ht="57.45" hidden="false" customHeight="false" outlineLevel="0" collapsed="false">
      <c r="A90" s="41" t="n">
        <v>46384</v>
      </c>
      <c r="B90" s="42" t="n">
        <v>9</v>
      </c>
      <c r="C90" s="42" t="s">
        <v>120</v>
      </c>
      <c r="D90" s="42" t="s">
        <v>53</v>
      </c>
      <c r="E90" s="42" t="s">
        <v>98</v>
      </c>
      <c r="F90" s="43" t="s">
        <v>99</v>
      </c>
      <c r="G90" s="44" t="s">
        <v>160</v>
      </c>
      <c r="H90" s="42" t="s">
        <v>161</v>
      </c>
      <c r="I90" s="42" t="n">
        <v>50</v>
      </c>
      <c r="J90" s="42" t="s">
        <v>102</v>
      </c>
      <c r="K90" s="24"/>
      <c r="L90" s="24"/>
      <c r="M90" s="24"/>
      <c r="N90" s="24"/>
      <c r="O90" s="24"/>
    </row>
    <row r="91" customFormat="false" ht="91" hidden="false" customHeight="false" outlineLevel="0" collapsed="false">
      <c r="A91" s="41" t="n">
        <v>46385</v>
      </c>
      <c r="B91" s="42" t="n">
        <v>9</v>
      </c>
      <c r="C91" s="42" t="s">
        <v>121</v>
      </c>
      <c r="D91" s="42" t="s">
        <v>53</v>
      </c>
      <c r="E91" s="42" t="s">
        <v>104</v>
      </c>
      <c r="F91" s="45" t="s">
        <v>105</v>
      </c>
      <c r="G91" s="46" t="s">
        <v>181</v>
      </c>
      <c r="H91" s="42" t="s">
        <v>196</v>
      </c>
      <c r="I91" s="42" t="n">
        <v>45</v>
      </c>
      <c r="J91" s="42" t="s">
        <v>102</v>
      </c>
      <c r="K91" s="24"/>
      <c r="L91" s="24"/>
      <c r="M91" s="24"/>
      <c r="N91" s="24"/>
      <c r="O91" s="24"/>
    </row>
    <row r="92" customFormat="false" ht="102.2" hidden="false" customHeight="false" outlineLevel="0" collapsed="false">
      <c r="A92" s="41" t="n">
        <v>46385</v>
      </c>
      <c r="B92" s="42" t="n">
        <v>9</v>
      </c>
      <c r="C92" s="42" t="s">
        <v>121</v>
      </c>
      <c r="D92" s="42" t="s">
        <v>53</v>
      </c>
      <c r="E92" s="42" t="s">
        <v>112</v>
      </c>
      <c r="F92" s="47" t="s">
        <v>122</v>
      </c>
      <c r="G92" s="48" t="s">
        <v>123</v>
      </c>
      <c r="H92" s="42" t="s">
        <v>124</v>
      </c>
      <c r="I92" s="42" t="n">
        <v>25</v>
      </c>
      <c r="J92" s="42" t="s">
        <v>102</v>
      </c>
      <c r="K92" s="24"/>
      <c r="L92" s="24"/>
      <c r="M92" s="24"/>
      <c r="N92" s="24"/>
      <c r="O92" s="24"/>
    </row>
    <row r="93" customFormat="false" ht="124.6" hidden="false" customHeight="false" outlineLevel="0" collapsed="false">
      <c r="A93" s="41" t="n">
        <v>46386</v>
      </c>
      <c r="B93" s="42" t="n">
        <v>9</v>
      </c>
      <c r="C93" s="42" t="s">
        <v>125</v>
      </c>
      <c r="D93" s="42" t="s">
        <v>53</v>
      </c>
      <c r="E93" s="42" t="s">
        <v>126</v>
      </c>
      <c r="F93" s="47" t="s">
        <v>122</v>
      </c>
      <c r="G93" s="48" t="s">
        <v>127</v>
      </c>
      <c r="H93" s="42" t="s">
        <v>128</v>
      </c>
      <c r="I93" s="42" t="n">
        <v>30</v>
      </c>
      <c r="J93" s="42" t="s">
        <v>102</v>
      </c>
      <c r="K93" s="24"/>
      <c r="L93" s="24"/>
      <c r="M93" s="24"/>
      <c r="N93" s="24"/>
      <c r="O93" s="24"/>
    </row>
    <row r="94" customFormat="false" ht="68.65" hidden="false" customHeight="false" outlineLevel="0" collapsed="false">
      <c r="A94" s="41" t="n">
        <v>46386</v>
      </c>
      <c r="B94" s="42" t="n">
        <v>9</v>
      </c>
      <c r="C94" s="42" t="s">
        <v>125</v>
      </c>
      <c r="D94" s="42" t="s">
        <v>53</v>
      </c>
      <c r="E94" s="42" t="s">
        <v>112</v>
      </c>
      <c r="F94" s="49" t="s">
        <v>113</v>
      </c>
      <c r="G94" s="50" t="s">
        <v>197</v>
      </c>
      <c r="H94" s="42" t="s">
        <v>198</v>
      </c>
      <c r="I94" s="42" t="n">
        <v>1050</v>
      </c>
      <c r="J94" s="42" t="s">
        <v>116</v>
      </c>
      <c r="K94" s="24"/>
      <c r="L94" s="24"/>
      <c r="M94" s="24"/>
      <c r="N94" s="24"/>
      <c r="O94" s="24"/>
    </row>
    <row r="95" customFormat="false" ht="57.45" hidden="false" customHeight="false" outlineLevel="0" collapsed="false">
      <c r="A95" s="41" t="n">
        <v>46387</v>
      </c>
      <c r="B95" s="42" t="n">
        <v>9</v>
      </c>
      <c r="C95" s="42" t="s">
        <v>96</v>
      </c>
      <c r="D95" s="42" t="s">
        <v>53</v>
      </c>
      <c r="E95" s="42" t="s">
        <v>98</v>
      </c>
      <c r="F95" s="43" t="s">
        <v>99</v>
      </c>
      <c r="G95" s="44" t="s">
        <v>160</v>
      </c>
      <c r="H95" s="42" t="s">
        <v>161</v>
      </c>
      <c r="I95" s="42" t="n">
        <v>50</v>
      </c>
      <c r="J95" s="42" t="s">
        <v>102</v>
      </c>
      <c r="K95" s="24"/>
      <c r="L95" s="24"/>
      <c r="M95" s="24"/>
      <c r="N95" s="24"/>
      <c r="O95" s="24"/>
    </row>
    <row r="96" customFormat="false" ht="91" hidden="false" customHeight="false" outlineLevel="0" collapsed="false">
      <c r="A96" s="41" t="n">
        <v>46388</v>
      </c>
      <c r="B96" s="42" t="n">
        <v>9</v>
      </c>
      <c r="C96" s="42" t="s">
        <v>103</v>
      </c>
      <c r="D96" s="42" t="s">
        <v>53</v>
      </c>
      <c r="E96" s="42" t="s">
        <v>104</v>
      </c>
      <c r="F96" s="45" t="s">
        <v>105</v>
      </c>
      <c r="G96" s="46" t="s">
        <v>199</v>
      </c>
      <c r="H96" s="42" t="s">
        <v>200</v>
      </c>
      <c r="I96" s="42" t="n">
        <v>45</v>
      </c>
      <c r="J96" s="42" t="s">
        <v>102</v>
      </c>
      <c r="K96" s="24"/>
      <c r="L96" s="24"/>
      <c r="M96" s="24"/>
      <c r="N96" s="24"/>
      <c r="O96" s="24"/>
    </row>
    <row r="97" customFormat="false" ht="124.6" hidden="false" customHeight="false" outlineLevel="0" collapsed="false">
      <c r="A97" s="41" t="n">
        <v>46389</v>
      </c>
      <c r="B97" s="42" t="n">
        <v>9</v>
      </c>
      <c r="C97" s="42" t="s">
        <v>108</v>
      </c>
      <c r="D97" s="42" t="s">
        <v>53</v>
      </c>
      <c r="E97" s="42" t="s">
        <v>104</v>
      </c>
      <c r="F97" s="45" t="s">
        <v>105</v>
      </c>
      <c r="G97" s="46" t="s">
        <v>201</v>
      </c>
      <c r="H97" s="42" t="s">
        <v>202</v>
      </c>
      <c r="I97" s="42" t="n">
        <v>105</v>
      </c>
      <c r="J97" s="42" t="s">
        <v>102</v>
      </c>
      <c r="K97" s="24"/>
      <c r="L97" s="24"/>
      <c r="M97" s="24"/>
      <c r="N97" s="24"/>
      <c r="O97" s="24"/>
    </row>
    <row r="98" customFormat="false" ht="79.85" hidden="false" customHeight="false" outlineLevel="0" collapsed="false">
      <c r="A98" s="41" t="n">
        <v>46390</v>
      </c>
      <c r="B98" s="42" t="n">
        <v>9</v>
      </c>
      <c r="C98" s="42" t="s">
        <v>111</v>
      </c>
      <c r="D98" s="42" t="s">
        <v>53</v>
      </c>
      <c r="E98" s="42" t="s">
        <v>112</v>
      </c>
      <c r="F98" s="49" t="s">
        <v>113</v>
      </c>
      <c r="G98" s="50" t="s">
        <v>203</v>
      </c>
      <c r="H98" s="42" t="s">
        <v>204</v>
      </c>
      <c r="I98" s="42" t="n">
        <v>950</v>
      </c>
      <c r="J98" s="42" t="s">
        <v>116</v>
      </c>
      <c r="K98" s="24"/>
      <c r="L98" s="24"/>
      <c r="M98" s="24"/>
      <c r="N98" s="24"/>
      <c r="O98" s="24"/>
    </row>
    <row r="99" customFormat="false" ht="23.85" hidden="false" customHeight="false" outlineLevel="0" collapsed="false">
      <c r="A99" s="41" t="n">
        <v>46390</v>
      </c>
      <c r="B99" s="42" t="n">
        <v>9</v>
      </c>
      <c r="C99" s="42" t="s">
        <v>111</v>
      </c>
      <c r="D99" s="42" t="s">
        <v>53</v>
      </c>
      <c r="E99" s="42" t="s">
        <v>117</v>
      </c>
      <c r="F99" s="43" t="s">
        <v>99</v>
      </c>
      <c r="G99" s="44" t="s">
        <v>118</v>
      </c>
      <c r="H99" s="42" t="s">
        <v>119</v>
      </c>
      <c r="I99" s="42" t="n">
        <v>30</v>
      </c>
      <c r="J99" s="42" t="s">
        <v>102</v>
      </c>
      <c r="K99" s="24"/>
      <c r="L99" s="24"/>
      <c r="M99" s="24"/>
      <c r="N99" s="24"/>
      <c r="O99" s="24"/>
    </row>
    <row r="100" customFormat="false" ht="57.45" hidden="false" customHeight="false" outlineLevel="0" collapsed="false">
      <c r="A100" s="41" t="n">
        <v>46391</v>
      </c>
      <c r="B100" s="42" t="n">
        <v>10</v>
      </c>
      <c r="C100" s="42" t="s">
        <v>120</v>
      </c>
      <c r="D100" s="42" t="s">
        <v>53</v>
      </c>
      <c r="E100" s="42" t="s">
        <v>98</v>
      </c>
      <c r="F100" s="43" t="s">
        <v>99</v>
      </c>
      <c r="G100" s="44" t="s">
        <v>160</v>
      </c>
      <c r="H100" s="42" t="s">
        <v>161</v>
      </c>
      <c r="I100" s="42" t="n">
        <v>50</v>
      </c>
      <c r="J100" s="42" t="s">
        <v>102</v>
      </c>
      <c r="K100" s="24"/>
      <c r="L100" s="24"/>
      <c r="M100" s="24"/>
      <c r="N100" s="24"/>
      <c r="O100" s="24"/>
    </row>
    <row r="101" customFormat="false" ht="91" hidden="false" customHeight="false" outlineLevel="0" collapsed="false">
      <c r="A101" s="41" t="n">
        <v>46392</v>
      </c>
      <c r="B101" s="42" t="n">
        <v>10</v>
      </c>
      <c r="C101" s="42" t="s">
        <v>121</v>
      </c>
      <c r="D101" s="42" t="s">
        <v>53</v>
      </c>
      <c r="E101" s="42" t="s">
        <v>104</v>
      </c>
      <c r="F101" s="45" t="s">
        <v>105</v>
      </c>
      <c r="G101" s="46" t="s">
        <v>205</v>
      </c>
      <c r="H101" s="42" t="s">
        <v>206</v>
      </c>
      <c r="I101" s="42" t="n">
        <v>50</v>
      </c>
      <c r="J101" s="42" t="s">
        <v>102</v>
      </c>
      <c r="K101" s="24"/>
      <c r="L101" s="24"/>
      <c r="M101" s="24"/>
      <c r="N101" s="24"/>
      <c r="O101" s="24"/>
    </row>
    <row r="102" customFormat="false" ht="102.2" hidden="false" customHeight="false" outlineLevel="0" collapsed="false">
      <c r="A102" s="41" t="n">
        <v>46392</v>
      </c>
      <c r="B102" s="42" t="n">
        <v>10</v>
      </c>
      <c r="C102" s="42" t="s">
        <v>121</v>
      </c>
      <c r="D102" s="42" t="s">
        <v>53</v>
      </c>
      <c r="E102" s="42" t="s">
        <v>112</v>
      </c>
      <c r="F102" s="47" t="s">
        <v>122</v>
      </c>
      <c r="G102" s="48" t="s">
        <v>123</v>
      </c>
      <c r="H102" s="42" t="s">
        <v>124</v>
      </c>
      <c r="I102" s="42" t="n">
        <v>25</v>
      </c>
      <c r="J102" s="42" t="s">
        <v>102</v>
      </c>
      <c r="K102" s="24"/>
      <c r="L102" s="24"/>
      <c r="M102" s="24"/>
      <c r="N102" s="24"/>
      <c r="O102" s="24"/>
    </row>
    <row r="103" customFormat="false" ht="124.6" hidden="false" customHeight="false" outlineLevel="0" collapsed="false">
      <c r="A103" s="41" t="n">
        <v>46393</v>
      </c>
      <c r="B103" s="42" t="n">
        <v>10</v>
      </c>
      <c r="C103" s="42" t="s">
        <v>125</v>
      </c>
      <c r="D103" s="42" t="s">
        <v>53</v>
      </c>
      <c r="E103" s="42" t="s">
        <v>126</v>
      </c>
      <c r="F103" s="47" t="s">
        <v>122</v>
      </c>
      <c r="G103" s="48" t="s">
        <v>127</v>
      </c>
      <c r="H103" s="42" t="s">
        <v>128</v>
      </c>
      <c r="I103" s="42" t="n">
        <v>30</v>
      </c>
      <c r="J103" s="42" t="s">
        <v>102</v>
      </c>
      <c r="K103" s="24"/>
      <c r="L103" s="24"/>
      <c r="M103" s="24"/>
      <c r="N103" s="24"/>
      <c r="O103" s="24"/>
    </row>
    <row r="104" customFormat="false" ht="68.65" hidden="false" customHeight="false" outlineLevel="0" collapsed="false">
      <c r="A104" s="41" t="n">
        <v>46393</v>
      </c>
      <c r="B104" s="42" t="n">
        <v>10</v>
      </c>
      <c r="C104" s="42" t="s">
        <v>125</v>
      </c>
      <c r="D104" s="42" t="s">
        <v>53</v>
      </c>
      <c r="E104" s="42" t="s">
        <v>112</v>
      </c>
      <c r="F104" s="49" t="s">
        <v>113</v>
      </c>
      <c r="G104" s="50" t="s">
        <v>207</v>
      </c>
      <c r="H104" s="42" t="s">
        <v>208</v>
      </c>
      <c r="I104" s="42" t="n">
        <v>1100</v>
      </c>
      <c r="J104" s="42" t="s">
        <v>116</v>
      </c>
      <c r="K104" s="24"/>
      <c r="L104" s="24"/>
      <c r="M104" s="24"/>
      <c r="N104" s="24"/>
      <c r="O104" s="24"/>
    </row>
    <row r="105" customFormat="false" ht="57.45" hidden="false" customHeight="false" outlineLevel="0" collapsed="false">
      <c r="A105" s="41" t="n">
        <v>46394</v>
      </c>
      <c r="B105" s="42" t="n">
        <v>10</v>
      </c>
      <c r="C105" s="42" t="s">
        <v>96</v>
      </c>
      <c r="D105" s="42" t="s">
        <v>53</v>
      </c>
      <c r="E105" s="42" t="s">
        <v>98</v>
      </c>
      <c r="F105" s="43" t="s">
        <v>99</v>
      </c>
      <c r="G105" s="44" t="s">
        <v>160</v>
      </c>
      <c r="H105" s="42" t="s">
        <v>161</v>
      </c>
      <c r="I105" s="42" t="n">
        <v>50</v>
      </c>
      <c r="J105" s="42" t="s">
        <v>102</v>
      </c>
      <c r="K105" s="24"/>
      <c r="L105" s="24"/>
      <c r="M105" s="24"/>
      <c r="N105" s="24"/>
      <c r="O105" s="24"/>
    </row>
    <row r="106" customFormat="false" ht="102.2" hidden="false" customHeight="false" outlineLevel="0" collapsed="false">
      <c r="A106" s="41" t="n">
        <v>46395</v>
      </c>
      <c r="B106" s="42" t="n">
        <v>10</v>
      </c>
      <c r="C106" s="42" t="s">
        <v>103</v>
      </c>
      <c r="D106" s="42" t="s">
        <v>53</v>
      </c>
      <c r="E106" s="42" t="s">
        <v>104</v>
      </c>
      <c r="F106" s="45" t="s">
        <v>105</v>
      </c>
      <c r="G106" s="46" t="s">
        <v>209</v>
      </c>
      <c r="H106" s="42" t="s">
        <v>210</v>
      </c>
      <c r="I106" s="42" t="n">
        <v>45</v>
      </c>
      <c r="J106" s="42" t="s">
        <v>102</v>
      </c>
      <c r="K106" s="24"/>
      <c r="L106" s="24"/>
      <c r="M106" s="24"/>
      <c r="N106" s="24"/>
      <c r="O106" s="24"/>
    </row>
    <row r="107" customFormat="false" ht="124.6" hidden="false" customHeight="false" outlineLevel="0" collapsed="false">
      <c r="A107" s="41" t="n">
        <v>46396</v>
      </c>
      <c r="B107" s="42" t="n">
        <v>10</v>
      </c>
      <c r="C107" s="42" t="s">
        <v>108</v>
      </c>
      <c r="D107" s="42" t="s">
        <v>53</v>
      </c>
      <c r="E107" s="42" t="s">
        <v>104</v>
      </c>
      <c r="F107" s="45" t="s">
        <v>105</v>
      </c>
      <c r="G107" s="46" t="s">
        <v>211</v>
      </c>
      <c r="H107" s="42" t="s">
        <v>212</v>
      </c>
      <c r="I107" s="42" t="n">
        <v>120</v>
      </c>
      <c r="J107" s="42" t="s">
        <v>102</v>
      </c>
      <c r="K107" s="24"/>
      <c r="L107" s="24"/>
      <c r="M107" s="24"/>
      <c r="N107" s="24"/>
      <c r="O107" s="24"/>
    </row>
    <row r="108" customFormat="false" ht="79.85" hidden="false" customHeight="false" outlineLevel="0" collapsed="false">
      <c r="A108" s="41" t="n">
        <v>46397</v>
      </c>
      <c r="B108" s="42" t="n">
        <v>10</v>
      </c>
      <c r="C108" s="42" t="s">
        <v>111</v>
      </c>
      <c r="D108" s="42" t="s">
        <v>53</v>
      </c>
      <c r="E108" s="42" t="s">
        <v>112</v>
      </c>
      <c r="F108" s="49" t="s">
        <v>113</v>
      </c>
      <c r="G108" s="50" t="s">
        <v>213</v>
      </c>
      <c r="H108" s="42" t="s">
        <v>214</v>
      </c>
      <c r="I108" s="42" t="n">
        <v>1000</v>
      </c>
      <c r="J108" s="42" t="s">
        <v>116</v>
      </c>
      <c r="K108" s="24"/>
      <c r="L108" s="24"/>
      <c r="M108" s="24"/>
      <c r="N108" s="24"/>
      <c r="O108" s="24"/>
    </row>
    <row r="109" customFormat="false" ht="23.85" hidden="false" customHeight="false" outlineLevel="0" collapsed="false">
      <c r="A109" s="41" t="n">
        <v>46397</v>
      </c>
      <c r="B109" s="42" t="n">
        <v>10</v>
      </c>
      <c r="C109" s="42" t="s">
        <v>111</v>
      </c>
      <c r="D109" s="42" t="s">
        <v>53</v>
      </c>
      <c r="E109" s="42" t="s">
        <v>117</v>
      </c>
      <c r="F109" s="43" t="s">
        <v>99</v>
      </c>
      <c r="G109" s="44" t="s">
        <v>118</v>
      </c>
      <c r="H109" s="42" t="s">
        <v>119</v>
      </c>
      <c r="I109" s="42" t="n">
        <v>30</v>
      </c>
      <c r="J109" s="42" t="s">
        <v>102</v>
      </c>
      <c r="K109" s="24"/>
      <c r="L109" s="24"/>
      <c r="M109" s="24"/>
      <c r="N109" s="24"/>
      <c r="O109" s="24"/>
    </row>
    <row r="110" customFormat="false" ht="57.45" hidden="false" customHeight="false" outlineLevel="0" collapsed="false">
      <c r="A110" s="41" t="n">
        <v>46398</v>
      </c>
      <c r="B110" s="42" t="n">
        <v>11</v>
      </c>
      <c r="C110" s="42" t="s">
        <v>120</v>
      </c>
      <c r="D110" s="42" t="s">
        <v>53</v>
      </c>
      <c r="E110" s="42" t="s">
        <v>98</v>
      </c>
      <c r="F110" s="43" t="s">
        <v>99</v>
      </c>
      <c r="G110" s="44" t="s">
        <v>160</v>
      </c>
      <c r="H110" s="42" t="s">
        <v>161</v>
      </c>
      <c r="I110" s="42" t="n">
        <v>50</v>
      </c>
      <c r="J110" s="42" t="s">
        <v>102</v>
      </c>
      <c r="K110" s="24"/>
      <c r="L110" s="24"/>
      <c r="M110" s="24"/>
      <c r="N110" s="24"/>
      <c r="O110" s="24"/>
    </row>
    <row r="111" customFormat="false" ht="91" hidden="false" customHeight="false" outlineLevel="0" collapsed="false">
      <c r="A111" s="41" t="n">
        <v>46399</v>
      </c>
      <c r="B111" s="42" t="n">
        <v>11</v>
      </c>
      <c r="C111" s="42" t="s">
        <v>121</v>
      </c>
      <c r="D111" s="42" t="s">
        <v>53</v>
      </c>
      <c r="E111" s="42" t="s">
        <v>104</v>
      </c>
      <c r="F111" s="45" t="s">
        <v>105</v>
      </c>
      <c r="G111" s="46" t="s">
        <v>155</v>
      </c>
      <c r="H111" s="42" t="s">
        <v>156</v>
      </c>
      <c r="I111" s="42" t="n">
        <v>50</v>
      </c>
      <c r="J111" s="42" t="s">
        <v>102</v>
      </c>
      <c r="K111" s="24"/>
      <c r="L111" s="24"/>
      <c r="M111" s="24"/>
      <c r="N111" s="24"/>
      <c r="O111" s="24"/>
    </row>
    <row r="112" customFormat="false" ht="102.2" hidden="false" customHeight="false" outlineLevel="0" collapsed="false">
      <c r="A112" s="41" t="n">
        <v>46399</v>
      </c>
      <c r="B112" s="42" t="n">
        <v>11</v>
      </c>
      <c r="C112" s="42" t="s">
        <v>121</v>
      </c>
      <c r="D112" s="42" t="s">
        <v>53</v>
      </c>
      <c r="E112" s="42" t="s">
        <v>112</v>
      </c>
      <c r="F112" s="47" t="s">
        <v>122</v>
      </c>
      <c r="G112" s="48" t="s">
        <v>123</v>
      </c>
      <c r="H112" s="42" t="s">
        <v>151</v>
      </c>
      <c r="I112" s="42" t="n">
        <v>25</v>
      </c>
      <c r="J112" s="42" t="s">
        <v>102</v>
      </c>
      <c r="K112" s="24"/>
      <c r="L112" s="24"/>
      <c r="M112" s="24"/>
      <c r="N112" s="24"/>
      <c r="O112" s="24"/>
    </row>
    <row r="113" customFormat="false" ht="124.6" hidden="false" customHeight="false" outlineLevel="0" collapsed="false">
      <c r="A113" s="41" t="n">
        <v>46400</v>
      </c>
      <c r="B113" s="42" t="n">
        <v>11</v>
      </c>
      <c r="C113" s="42" t="s">
        <v>125</v>
      </c>
      <c r="D113" s="42" t="s">
        <v>53</v>
      </c>
      <c r="E113" s="42" t="s">
        <v>126</v>
      </c>
      <c r="F113" s="47" t="s">
        <v>122</v>
      </c>
      <c r="G113" s="48" t="s">
        <v>127</v>
      </c>
      <c r="H113" s="42" t="s">
        <v>152</v>
      </c>
      <c r="I113" s="42" t="n">
        <v>30</v>
      </c>
      <c r="J113" s="42" t="s">
        <v>102</v>
      </c>
      <c r="K113" s="24"/>
      <c r="L113" s="24"/>
      <c r="M113" s="24"/>
      <c r="N113" s="24"/>
      <c r="O113" s="24"/>
    </row>
    <row r="114" customFormat="false" ht="68.65" hidden="false" customHeight="false" outlineLevel="0" collapsed="false">
      <c r="A114" s="41" t="n">
        <v>46400</v>
      </c>
      <c r="B114" s="42" t="n">
        <v>11</v>
      </c>
      <c r="C114" s="42" t="s">
        <v>125</v>
      </c>
      <c r="D114" s="42" t="s">
        <v>53</v>
      </c>
      <c r="E114" s="42" t="s">
        <v>112</v>
      </c>
      <c r="F114" s="49" t="s">
        <v>113</v>
      </c>
      <c r="G114" s="50" t="s">
        <v>197</v>
      </c>
      <c r="H114" s="42" t="s">
        <v>198</v>
      </c>
      <c r="I114" s="42" t="n">
        <v>1050</v>
      </c>
      <c r="J114" s="42" t="s">
        <v>116</v>
      </c>
      <c r="K114" s="24"/>
      <c r="L114" s="24"/>
      <c r="M114" s="24"/>
      <c r="N114" s="24"/>
      <c r="O114" s="24"/>
    </row>
    <row r="115" customFormat="false" ht="57.45" hidden="false" customHeight="false" outlineLevel="0" collapsed="false">
      <c r="A115" s="41" t="n">
        <v>46401</v>
      </c>
      <c r="B115" s="42" t="n">
        <v>11</v>
      </c>
      <c r="C115" s="42" t="s">
        <v>96</v>
      </c>
      <c r="D115" s="42" t="s">
        <v>53</v>
      </c>
      <c r="E115" s="42" t="s">
        <v>98</v>
      </c>
      <c r="F115" s="43" t="s">
        <v>99</v>
      </c>
      <c r="G115" s="44" t="s">
        <v>160</v>
      </c>
      <c r="H115" s="42" t="s">
        <v>161</v>
      </c>
      <c r="I115" s="42" t="n">
        <v>50</v>
      </c>
      <c r="J115" s="42" t="s">
        <v>102</v>
      </c>
      <c r="K115" s="24"/>
      <c r="L115" s="24"/>
      <c r="M115" s="24"/>
      <c r="N115" s="24"/>
      <c r="O115" s="24"/>
    </row>
    <row r="116" customFormat="false" ht="102.2" hidden="false" customHeight="false" outlineLevel="0" collapsed="false">
      <c r="A116" s="41" t="n">
        <v>46402</v>
      </c>
      <c r="B116" s="42" t="n">
        <v>11</v>
      </c>
      <c r="C116" s="42" t="s">
        <v>103</v>
      </c>
      <c r="D116" s="42" t="s">
        <v>53</v>
      </c>
      <c r="E116" s="42" t="s">
        <v>104</v>
      </c>
      <c r="F116" s="45" t="s">
        <v>105</v>
      </c>
      <c r="G116" s="46" t="s">
        <v>215</v>
      </c>
      <c r="H116" s="42" t="s">
        <v>216</v>
      </c>
      <c r="I116" s="42" t="n">
        <v>40</v>
      </c>
      <c r="J116" s="42" t="s">
        <v>102</v>
      </c>
      <c r="K116" s="24"/>
      <c r="L116" s="24"/>
      <c r="M116" s="24"/>
      <c r="N116" s="24"/>
      <c r="O116" s="24"/>
    </row>
    <row r="117" customFormat="false" ht="124.6" hidden="false" customHeight="false" outlineLevel="0" collapsed="false">
      <c r="A117" s="41" t="n">
        <v>46403</v>
      </c>
      <c r="B117" s="42" t="n">
        <v>11</v>
      </c>
      <c r="C117" s="42" t="s">
        <v>108</v>
      </c>
      <c r="D117" s="42" t="s">
        <v>53</v>
      </c>
      <c r="E117" s="42" t="s">
        <v>104</v>
      </c>
      <c r="F117" s="45" t="s">
        <v>105</v>
      </c>
      <c r="G117" s="46" t="s">
        <v>187</v>
      </c>
      <c r="H117" s="42" t="s">
        <v>217</v>
      </c>
      <c r="I117" s="42" t="n">
        <v>90</v>
      </c>
      <c r="J117" s="42" t="s">
        <v>102</v>
      </c>
      <c r="K117" s="24"/>
      <c r="L117" s="24"/>
      <c r="M117" s="24"/>
      <c r="N117" s="24"/>
      <c r="O117" s="24"/>
    </row>
    <row r="118" customFormat="false" ht="79.85" hidden="false" customHeight="false" outlineLevel="0" collapsed="false">
      <c r="A118" s="41" t="n">
        <v>46404</v>
      </c>
      <c r="B118" s="42" t="n">
        <v>11</v>
      </c>
      <c r="C118" s="42" t="s">
        <v>111</v>
      </c>
      <c r="D118" s="42" t="s">
        <v>53</v>
      </c>
      <c r="E118" s="42" t="s">
        <v>112</v>
      </c>
      <c r="F118" s="49" t="s">
        <v>113</v>
      </c>
      <c r="G118" s="50" t="s">
        <v>218</v>
      </c>
      <c r="H118" s="42" t="s">
        <v>219</v>
      </c>
      <c r="I118" s="42" t="n">
        <v>1100</v>
      </c>
      <c r="J118" s="42" t="s">
        <v>116</v>
      </c>
      <c r="K118" s="24"/>
      <c r="L118" s="24"/>
      <c r="M118" s="24"/>
      <c r="N118" s="24"/>
      <c r="O118" s="24"/>
    </row>
    <row r="119" customFormat="false" ht="23.85" hidden="false" customHeight="false" outlineLevel="0" collapsed="false">
      <c r="A119" s="41" t="n">
        <v>46404</v>
      </c>
      <c r="B119" s="42" t="n">
        <v>11</v>
      </c>
      <c r="C119" s="42" t="s">
        <v>111</v>
      </c>
      <c r="D119" s="42" t="s">
        <v>53</v>
      </c>
      <c r="E119" s="42" t="s">
        <v>117</v>
      </c>
      <c r="F119" s="43" t="s">
        <v>99</v>
      </c>
      <c r="G119" s="44" t="s">
        <v>118</v>
      </c>
      <c r="H119" s="42" t="s">
        <v>119</v>
      </c>
      <c r="I119" s="42" t="n">
        <v>30</v>
      </c>
      <c r="J119" s="42" t="s">
        <v>102</v>
      </c>
      <c r="K119" s="24"/>
      <c r="L119" s="24"/>
      <c r="M119" s="24"/>
      <c r="N119" s="24"/>
      <c r="O119" s="24"/>
    </row>
    <row r="120" customFormat="false" ht="57.45" hidden="false" customHeight="false" outlineLevel="0" collapsed="false">
      <c r="A120" s="51" t="n">
        <v>46405</v>
      </c>
      <c r="B120" s="52" t="n">
        <v>12</v>
      </c>
      <c r="C120" s="52" t="s">
        <v>120</v>
      </c>
      <c r="D120" s="52" t="s">
        <v>57</v>
      </c>
      <c r="E120" s="52" t="s">
        <v>98</v>
      </c>
      <c r="F120" s="53" t="s">
        <v>99</v>
      </c>
      <c r="G120" s="54" t="s">
        <v>160</v>
      </c>
      <c r="H120" s="52" t="s">
        <v>161</v>
      </c>
      <c r="I120" s="52" t="n">
        <v>50</v>
      </c>
      <c r="J120" s="52" t="s">
        <v>102</v>
      </c>
      <c r="K120" s="24"/>
      <c r="L120" s="24"/>
      <c r="M120" s="24"/>
      <c r="N120" s="24"/>
      <c r="O120" s="24"/>
    </row>
    <row r="121" customFormat="false" ht="91" hidden="false" customHeight="false" outlineLevel="0" collapsed="false">
      <c r="A121" s="51" t="n">
        <v>46406</v>
      </c>
      <c r="B121" s="52" t="n">
        <v>12</v>
      </c>
      <c r="C121" s="52" t="s">
        <v>121</v>
      </c>
      <c r="D121" s="52" t="s">
        <v>57</v>
      </c>
      <c r="E121" s="52" t="s">
        <v>104</v>
      </c>
      <c r="F121" s="55" t="s">
        <v>105</v>
      </c>
      <c r="G121" s="56" t="s">
        <v>205</v>
      </c>
      <c r="H121" s="52" t="s">
        <v>220</v>
      </c>
      <c r="I121" s="52" t="n">
        <v>50</v>
      </c>
      <c r="J121" s="52" t="s">
        <v>102</v>
      </c>
      <c r="K121" s="24"/>
      <c r="L121" s="24"/>
      <c r="M121" s="24"/>
      <c r="N121" s="24"/>
      <c r="O121" s="24"/>
    </row>
    <row r="122" customFormat="false" ht="102.2" hidden="false" customHeight="false" outlineLevel="0" collapsed="false">
      <c r="A122" s="51" t="n">
        <v>46406</v>
      </c>
      <c r="B122" s="52" t="n">
        <v>12</v>
      </c>
      <c r="C122" s="52" t="s">
        <v>121</v>
      </c>
      <c r="D122" s="52" t="s">
        <v>57</v>
      </c>
      <c r="E122" s="52" t="s">
        <v>112</v>
      </c>
      <c r="F122" s="57" t="s">
        <v>122</v>
      </c>
      <c r="G122" s="58" t="s">
        <v>123</v>
      </c>
      <c r="H122" s="52" t="s">
        <v>124</v>
      </c>
      <c r="I122" s="52" t="n">
        <v>25</v>
      </c>
      <c r="J122" s="52" t="s">
        <v>102</v>
      </c>
      <c r="K122" s="24"/>
      <c r="L122" s="24"/>
      <c r="M122" s="24"/>
      <c r="N122" s="24"/>
      <c r="O122" s="24"/>
    </row>
    <row r="123" customFormat="false" ht="124.6" hidden="false" customHeight="false" outlineLevel="0" collapsed="false">
      <c r="A123" s="51" t="n">
        <v>46407</v>
      </c>
      <c r="B123" s="52" t="n">
        <v>12</v>
      </c>
      <c r="C123" s="52" t="s">
        <v>125</v>
      </c>
      <c r="D123" s="52" t="s">
        <v>57</v>
      </c>
      <c r="E123" s="52" t="s">
        <v>126</v>
      </c>
      <c r="F123" s="57" t="s">
        <v>122</v>
      </c>
      <c r="G123" s="58" t="s">
        <v>127</v>
      </c>
      <c r="H123" s="52" t="s">
        <v>128</v>
      </c>
      <c r="I123" s="52" t="n">
        <v>30</v>
      </c>
      <c r="J123" s="52" t="s">
        <v>102</v>
      </c>
      <c r="K123" s="24"/>
      <c r="L123" s="24"/>
      <c r="M123" s="24"/>
      <c r="N123" s="24"/>
      <c r="O123" s="24"/>
    </row>
    <row r="124" customFormat="false" ht="68.65" hidden="false" customHeight="false" outlineLevel="0" collapsed="false">
      <c r="A124" s="51" t="n">
        <v>46407</v>
      </c>
      <c r="B124" s="52" t="n">
        <v>12</v>
      </c>
      <c r="C124" s="52" t="s">
        <v>125</v>
      </c>
      <c r="D124" s="52" t="s">
        <v>57</v>
      </c>
      <c r="E124" s="52" t="s">
        <v>112</v>
      </c>
      <c r="F124" s="59" t="s">
        <v>113</v>
      </c>
      <c r="G124" s="60" t="s">
        <v>207</v>
      </c>
      <c r="H124" s="52" t="s">
        <v>208</v>
      </c>
      <c r="I124" s="52" t="n">
        <v>1100</v>
      </c>
      <c r="J124" s="52" t="s">
        <v>116</v>
      </c>
      <c r="K124" s="24"/>
      <c r="L124" s="24"/>
      <c r="M124" s="24"/>
      <c r="N124" s="24"/>
      <c r="O124" s="24"/>
    </row>
    <row r="125" customFormat="false" ht="57.45" hidden="false" customHeight="false" outlineLevel="0" collapsed="false">
      <c r="A125" s="51" t="n">
        <v>46408</v>
      </c>
      <c r="B125" s="52" t="n">
        <v>12</v>
      </c>
      <c r="C125" s="52" t="s">
        <v>96</v>
      </c>
      <c r="D125" s="52" t="s">
        <v>57</v>
      </c>
      <c r="E125" s="52" t="s">
        <v>98</v>
      </c>
      <c r="F125" s="53" t="s">
        <v>99</v>
      </c>
      <c r="G125" s="54" t="s">
        <v>160</v>
      </c>
      <c r="H125" s="52" t="s">
        <v>161</v>
      </c>
      <c r="I125" s="52" t="n">
        <v>50</v>
      </c>
      <c r="J125" s="52" t="s">
        <v>102</v>
      </c>
      <c r="K125" s="24"/>
      <c r="L125" s="24"/>
      <c r="M125" s="24"/>
      <c r="N125" s="24"/>
      <c r="O125" s="24"/>
    </row>
    <row r="126" customFormat="false" ht="91" hidden="false" customHeight="false" outlineLevel="0" collapsed="false">
      <c r="A126" s="51" t="n">
        <v>46409</v>
      </c>
      <c r="B126" s="52" t="n">
        <v>12</v>
      </c>
      <c r="C126" s="52" t="s">
        <v>103</v>
      </c>
      <c r="D126" s="52" t="s">
        <v>57</v>
      </c>
      <c r="E126" s="52" t="s">
        <v>104</v>
      </c>
      <c r="F126" s="55" t="s">
        <v>105</v>
      </c>
      <c r="G126" s="56" t="s">
        <v>221</v>
      </c>
      <c r="H126" s="52" t="s">
        <v>222</v>
      </c>
      <c r="I126" s="52" t="n">
        <v>45</v>
      </c>
      <c r="J126" s="52" t="s">
        <v>102</v>
      </c>
      <c r="K126" s="24"/>
      <c r="L126" s="24"/>
      <c r="M126" s="24"/>
      <c r="N126" s="24"/>
      <c r="O126" s="24"/>
    </row>
    <row r="127" customFormat="false" ht="135.8" hidden="false" customHeight="false" outlineLevel="0" collapsed="false">
      <c r="A127" s="51" t="n">
        <v>46410</v>
      </c>
      <c r="B127" s="52" t="n">
        <v>12</v>
      </c>
      <c r="C127" s="52" t="s">
        <v>108</v>
      </c>
      <c r="D127" s="52" t="s">
        <v>57</v>
      </c>
      <c r="E127" s="52" t="s">
        <v>104</v>
      </c>
      <c r="F127" s="55" t="s">
        <v>105</v>
      </c>
      <c r="G127" s="56" t="s">
        <v>223</v>
      </c>
      <c r="H127" s="52" t="s">
        <v>224</v>
      </c>
      <c r="I127" s="52" t="n">
        <v>150</v>
      </c>
      <c r="J127" s="52" t="s">
        <v>102</v>
      </c>
      <c r="K127" s="24"/>
      <c r="L127" s="24"/>
      <c r="M127" s="24"/>
      <c r="N127" s="24"/>
      <c r="O127" s="24"/>
    </row>
    <row r="128" customFormat="false" ht="79.85" hidden="false" customHeight="false" outlineLevel="0" collapsed="false">
      <c r="A128" s="51" t="n">
        <v>46411</v>
      </c>
      <c r="B128" s="52" t="n">
        <v>12</v>
      </c>
      <c r="C128" s="52" t="s">
        <v>111</v>
      </c>
      <c r="D128" s="52" t="s">
        <v>57</v>
      </c>
      <c r="E128" s="52" t="s">
        <v>112</v>
      </c>
      <c r="F128" s="59" t="s">
        <v>113</v>
      </c>
      <c r="G128" s="60" t="s">
        <v>218</v>
      </c>
      <c r="H128" s="52" t="s">
        <v>219</v>
      </c>
      <c r="I128" s="52" t="n">
        <v>1100</v>
      </c>
      <c r="J128" s="52" t="s">
        <v>116</v>
      </c>
      <c r="K128" s="24"/>
      <c r="L128" s="24"/>
      <c r="M128" s="24"/>
      <c r="N128" s="24"/>
      <c r="O128" s="24"/>
    </row>
    <row r="129" customFormat="false" ht="23.85" hidden="false" customHeight="false" outlineLevel="0" collapsed="false">
      <c r="A129" s="51" t="n">
        <v>46411</v>
      </c>
      <c r="B129" s="52" t="n">
        <v>12</v>
      </c>
      <c r="C129" s="52" t="s">
        <v>111</v>
      </c>
      <c r="D129" s="52" t="s">
        <v>57</v>
      </c>
      <c r="E129" s="52" t="s">
        <v>117</v>
      </c>
      <c r="F129" s="53" t="s">
        <v>99</v>
      </c>
      <c r="G129" s="54" t="s">
        <v>118</v>
      </c>
      <c r="H129" s="52" t="s">
        <v>119</v>
      </c>
      <c r="I129" s="52" t="n">
        <v>30</v>
      </c>
      <c r="J129" s="52" t="s">
        <v>102</v>
      </c>
      <c r="K129" s="24"/>
      <c r="L129" s="24"/>
      <c r="M129" s="24"/>
      <c r="N129" s="24"/>
      <c r="O129" s="24"/>
    </row>
    <row r="130" customFormat="false" ht="57.45" hidden="false" customHeight="false" outlineLevel="0" collapsed="false">
      <c r="A130" s="61" t="n">
        <v>46412</v>
      </c>
      <c r="B130" s="62" t="n">
        <v>13</v>
      </c>
      <c r="C130" s="62" t="s">
        <v>120</v>
      </c>
      <c r="D130" s="62" t="s">
        <v>225</v>
      </c>
      <c r="E130" s="62" t="s">
        <v>98</v>
      </c>
      <c r="F130" s="63" t="s">
        <v>99</v>
      </c>
      <c r="G130" s="64" t="s">
        <v>160</v>
      </c>
      <c r="H130" s="62" t="s">
        <v>161</v>
      </c>
      <c r="I130" s="62" t="n">
        <v>50</v>
      </c>
      <c r="J130" s="62" t="s">
        <v>102</v>
      </c>
      <c r="K130" s="24"/>
      <c r="L130" s="24"/>
      <c r="M130" s="24"/>
      <c r="N130" s="24"/>
      <c r="O130" s="24"/>
    </row>
    <row r="131" customFormat="false" ht="91" hidden="false" customHeight="false" outlineLevel="0" collapsed="false">
      <c r="A131" s="61" t="n">
        <v>46413</v>
      </c>
      <c r="B131" s="62" t="n">
        <v>13</v>
      </c>
      <c r="C131" s="62" t="s">
        <v>121</v>
      </c>
      <c r="D131" s="62" t="s">
        <v>225</v>
      </c>
      <c r="E131" s="62" t="s">
        <v>104</v>
      </c>
      <c r="F131" s="65" t="s">
        <v>105</v>
      </c>
      <c r="G131" s="66" t="s">
        <v>181</v>
      </c>
      <c r="H131" s="62" t="s">
        <v>226</v>
      </c>
      <c r="I131" s="62" t="n">
        <v>45</v>
      </c>
      <c r="J131" s="62" t="s">
        <v>102</v>
      </c>
      <c r="K131" s="24"/>
      <c r="L131" s="24"/>
      <c r="M131" s="24"/>
      <c r="N131" s="24"/>
      <c r="O131" s="24"/>
    </row>
    <row r="132" customFormat="false" ht="124.6" hidden="false" customHeight="false" outlineLevel="0" collapsed="false">
      <c r="A132" s="61" t="n">
        <v>46414</v>
      </c>
      <c r="B132" s="62" t="n">
        <v>13</v>
      </c>
      <c r="C132" s="62" t="s">
        <v>125</v>
      </c>
      <c r="D132" s="62" t="s">
        <v>225</v>
      </c>
      <c r="E132" s="62" t="s">
        <v>126</v>
      </c>
      <c r="F132" s="67" t="s">
        <v>122</v>
      </c>
      <c r="G132" s="68" t="s">
        <v>227</v>
      </c>
      <c r="H132" s="62" t="s">
        <v>152</v>
      </c>
      <c r="I132" s="62" t="n">
        <v>25</v>
      </c>
      <c r="J132" s="62" t="s">
        <v>102</v>
      </c>
      <c r="K132" s="24"/>
      <c r="L132" s="24"/>
      <c r="M132" s="24"/>
      <c r="N132" s="24"/>
      <c r="O132" s="24"/>
    </row>
    <row r="133" customFormat="false" ht="68.65" hidden="false" customHeight="false" outlineLevel="0" collapsed="false">
      <c r="A133" s="61" t="n">
        <v>46414</v>
      </c>
      <c r="B133" s="62" t="n">
        <v>13</v>
      </c>
      <c r="C133" s="62" t="s">
        <v>125</v>
      </c>
      <c r="D133" s="62" t="s">
        <v>225</v>
      </c>
      <c r="E133" s="62" t="s">
        <v>112</v>
      </c>
      <c r="F133" s="69" t="s">
        <v>113</v>
      </c>
      <c r="G133" s="70" t="s">
        <v>164</v>
      </c>
      <c r="H133" s="62" t="s">
        <v>228</v>
      </c>
      <c r="I133" s="62" t="n">
        <v>900</v>
      </c>
      <c r="J133" s="62" t="s">
        <v>116</v>
      </c>
      <c r="K133" s="24"/>
      <c r="L133" s="24"/>
      <c r="M133" s="24"/>
      <c r="N133" s="24"/>
      <c r="O133" s="24"/>
    </row>
    <row r="134" customFormat="false" ht="57.45" hidden="false" customHeight="false" outlineLevel="0" collapsed="false">
      <c r="A134" s="61" t="n">
        <v>46415</v>
      </c>
      <c r="B134" s="62" t="n">
        <v>13</v>
      </c>
      <c r="C134" s="62" t="s">
        <v>96</v>
      </c>
      <c r="D134" s="62" t="s">
        <v>225</v>
      </c>
      <c r="E134" s="62" t="s">
        <v>98</v>
      </c>
      <c r="F134" s="63" t="s">
        <v>99</v>
      </c>
      <c r="G134" s="64" t="s">
        <v>160</v>
      </c>
      <c r="H134" s="62" t="s">
        <v>161</v>
      </c>
      <c r="I134" s="62" t="n">
        <v>50</v>
      </c>
      <c r="J134" s="62" t="s">
        <v>102</v>
      </c>
      <c r="K134" s="24"/>
      <c r="L134" s="24"/>
      <c r="M134" s="24"/>
      <c r="N134" s="24"/>
      <c r="O134" s="24"/>
    </row>
    <row r="135" customFormat="false" ht="79.85" hidden="false" customHeight="false" outlineLevel="0" collapsed="false">
      <c r="A135" s="61" t="n">
        <v>46416</v>
      </c>
      <c r="B135" s="62" t="n">
        <v>13</v>
      </c>
      <c r="C135" s="62" t="s">
        <v>103</v>
      </c>
      <c r="D135" s="62" t="s">
        <v>225</v>
      </c>
      <c r="E135" s="62" t="s">
        <v>104</v>
      </c>
      <c r="F135" s="65" t="s">
        <v>105</v>
      </c>
      <c r="G135" s="66" t="s">
        <v>229</v>
      </c>
      <c r="H135" s="62" t="s">
        <v>230</v>
      </c>
      <c r="I135" s="62" t="n">
        <v>40</v>
      </c>
      <c r="J135" s="62" t="s">
        <v>102</v>
      </c>
      <c r="K135" s="24"/>
      <c r="L135" s="24"/>
      <c r="M135" s="24"/>
      <c r="N135" s="24"/>
      <c r="O135" s="24"/>
    </row>
    <row r="136" customFormat="false" ht="124.6" hidden="false" customHeight="false" outlineLevel="0" collapsed="false">
      <c r="A136" s="61" t="n">
        <v>46417</v>
      </c>
      <c r="B136" s="62" t="n">
        <v>13</v>
      </c>
      <c r="C136" s="62" t="s">
        <v>108</v>
      </c>
      <c r="D136" s="62" t="s">
        <v>225</v>
      </c>
      <c r="E136" s="62" t="s">
        <v>104</v>
      </c>
      <c r="F136" s="65" t="s">
        <v>105</v>
      </c>
      <c r="G136" s="66" t="s">
        <v>231</v>
      </c>
      <c r="H136" s="62" t="s">
        <v>232</v>
      </c>
      <c r="I136" s="62" t="n">
        <v>90</v>
      </c>
      <c r="J136" s="62" t="s">
        <v>102</v>
      </c>
      <c r="K136" s="24"/>
      <c r="L136" s="24"/>
      <c r="M136" s="24"/>
      <c r="N136" s="24"/>
      <c r="O136" s="24"/>
    </row>
    <row r="137" customFormat="false" ht="79.85" hidden="false" customHeight="false" outlineLevel="0" collapsed="false">
      <c r="A137" s="61" t="n">
        <v>46418</v>
      </c>
      <c r="B137" s="62" t="n">
        <v>13</v>
      </c>
      <c r="C137" s="62" t="s">
        <v>111</v>
      </c>
      <c r="D137" s="62" t="s">
        <v>225</v>
      </c>
      <c r="E137" s="62" t="s">
        <v>112</v>
      </c>
      <c r="F137" s="69" t="s">
        <v>113</v>
      </c>
      <c r="G137" s="70" t="s">
        <v>233</v>
      </c>
      <c r="H137" s="62" t="s">
        <v>234</v>
      </c>
      <c r="I137" s="62" t="n">
        <v>1200</v>
      </c>
      <c r="J137" s="62" t="s">
        <v>116</v>
      </c>
      <c r="K137" s="24"/>
      <c r="L137" s="24"/>
      <c r="M137" s="24"/>
      <c r="N137" s="24"/>
      <c r="O137" s="24"/>
    </row>
    <row r="138" customFormat="false" ht="23.85" hidden="false" customHeight="false" outlineLevel="0" collapsed="false">
      <c r="A138" s="61" t="n">
        <v>46418</v>
      </c>
      <c r="B138" s="62" t="n">
        <v>13</v>
      </c>
      <c r="C138" s="62" t="s">
        <v>111</v>
      </c>
      <c r="D138" s="62" t="s">
        <v>225</v>
      </c>
      <c r="E138" s="62" t="s">
        <v>117</v>
      </c>
      <c r="F138" s="63" t="s">
        <v>99</v>
      </c>
      <c r="G138" s="64" t="s">
        <v>118</v>
      </c>
      <c r="H138" s="62" t="s">
        <v>119</v>
      </c>
      <c r="I138" s="62" t="n">
        <v>30</v>
      </c>
      <c r="J138" s="62" t="s">
        <v>102</v>
      </c>
      <c r="K138" s="24"/>
      <c r="L138" s="24"/>
      <c r="M138" s="24"/>
      <c r="N138" s="24"/>
      <c r="O138" s="24"/>
    </row>
    <row r="139" customFormat="false" ht="57.45" hidden="false" customHeight="false" outlineLevel="0" collapsed="false">
      <c r="A139" s="71" t="n">
        <v>46419</v>
      </c>
      <c r="B139" s="72" t="n">
        <v>14</v>
      </c>
      <c r="C139" s="72" t="s">
        <v>120</v>
      </c>
      <c r="D139" s="72" t="s">
        <v>235</v>
      </c>
      <c r="E139" s="72" t="s">
        <v>98</v>
      </c>
      <c r="F139" s="73" t="s">
        <v>99</v>
      </c>
      <c r="G139" s="74" t="s">
        <v>160</v>
      </c>
      <c r="H139" s="72" t="s">
        <v>161</v>
      </c>
      <c r="I139" s="72" t="n">
        <v>50</v>
      </c>
      <c r="J139" s="72" t="s">
        <v>102</v>
      </c>
      <c r="K139" s="24"/>
      <c r="L139" s="24"/>
      <c r="M139" s="24"/>
      <c r="N139" s="24"/>
      <c r="O139" s="24"/>
    </row>
    <row r="140" customFormat="false" ht="102.2" hidden="false" customHeight="false" outlineLevel="0" collapsed="false">
      <c r="A140" s="71" t="n">
        <v>46420</v>
      </c>
      <c r="B140" s="72" t="n">
        <v>14</v>
      </c>
      <c r="C140" s="72" t="s">
        <v>121</v>
      </c>
      <c r="D140" s="72" t="s">
        <v>235</v>
      </c>
      <c r="E140" s="72" t="s">
        <v>104</v>
      </c>
      <c r="F140" s="75" t="s">
        <v>105</v>
      </c>
      <c r="G140" s="76" t="s">
        <v>236</v>
      </c>
      <c r="H140" s="72" t="s">
        <v>237</v>
      </c>
      <c r="I140" s="72" t="n">
        <v>30</v>
      </c>
      <c r="J140" s="72" t="s">
        <v>102</v>
      </c>
      <c r="K140" s="24"/>
      <c r="L140" s="24"/>
      <c r="M140" s="24"/>
      <c r="N140" s="24"/>
      <c r="O140" s="24"/>
    </row>
    <row r="141" customFormat="false" ht="91" hidden="false" customHeight="false" outlineLevel="0" collapsed="false">
      <c r="A141" s="71" t="n">
        <v>46420</v>
      </c>
      <c r="B141" s="72" t="n">
        <v>14</v>
      </c>
      <c r="C141" s="72" t="s">
        <v>121</v>
      </c>
      <c r="D141" s="72" t="s">
        <v>235</v>
      </c>
      <c r="E141" s="72" t="s">
        <v>112</v>
      </c>
      <c r="F141" s="77" t="s">
        <v>122</v>
      </c>
      <c r="G141" s="78" t="s">
        <v>238</v>
      </c>
      <c r="H141" s="72" t="s">
        <v>239</v>
      </c>
      <c r="I141" s="72" t="n">
        <v>20</v>
      </c>
      <c r="J141" s="72" t="s">
        <v>102</v>
      </c>
      <c r="K141" s="24"/>
      <c r="L141" s="24"/>
      <c r="M141" s="24"/>
      <c r="N141" s="24"/>
      <c r="O141" s="24"/>
    </row>
    <row r="142" customFormat="false" ht="23.85" hidden="false" customHeight="false" outlineLevel="0" collapsed="false">
      <c r="A142" s="71" t="n">
        <v>46421</v>
      </c>
      <c r="B142" s="72" t="n">
        <v>14</v>
      </c>
      <c r="C142" s="72" t="s">
        <v>125</v>
      </c>
      <c r="D142" s="72" t="s">
        <v>235</v>
      </c>
      <c r="E142" s="72" t="s">
        <v>117</v>
      </c>
      <c r="F142" s="73" t="s">
        <v>99</v>
      </c>
      <c r="G142" s="74" t="s">
        <v>240</v>
      </c>
      <c r="H142" s="72" t="s">
        <v>241</v>
      </c>
      <c r="I142" s="72" t="n">
        <v>20</v>
      </c>
      <c r="J142" s="72" t="s">
        <v>102</v>
      </c>
      <c r="K142" s="24"/>
      <c r="L142" s="24"/>
      <c r="M142" s="24"/>
      <c r="N142" s="24"/>
      <c r="O142" s="24"/>
    </row>
    <row r="143" customFormat="false" ht="68.65" hidden="false" customHeight="false" outlineLevel="0" collapsed="false">
      <c r="A143" s="71" t="n">
        <v>46421</v>
      </c>
      <c r="B143" s="72" t="n">
        <v>14</v>
      </c>
      <c r="C143" s="72" t="s">
        <v>125</v>
      </c>
      <c r="D143" s="72" t="s">
        <v>235</v>
      </c>
      <c r="E143" s="72" t="s">
        <v>112</v>
      </c>
      <c r="F143" s="79" t="s">
        <v>113</v>
      </c>
      <c r="G143" s="80" t="s">
        <v>242</v>
      </c>
      <c r="H143" s="72" t="s">
        <v>243</v>
      </c>
      <c r="I143" s="72" t="n">
        <v>600</v>
      </c>
      <c r="J143" s="72" t="s">
        <v>116</v>
      </c>
      <c r="K143" s="24"/>
      <c r="L143" s="24"/>
      <c r="M143" s="24"/>
      <c r="N143" s="24"/>
      <c r="O143" s="24"/>
    </row>
    <row r="144" customFormat="false" ht="57.45" hidden="false" customHeight="false" outlineLevel="0" collapsed="false">
      <c r="A144" s="71" t="n">
        <v>46422</v>
      </c>
      <c r="B144" s="72" t="n">
        <v>14</v>
      </c>
      <c r="C144" s="72" t="s">
        <v>96</v>
      </c>
      <c r="D144" s="72" t="s">
        <v>235</v>
      </c>
      <c r="E144" s="72" t="s">
        <v>98</v>
      </c>
      <c r="F144" s="73" t="s">
        <v>99</v>
      </c>
      <c r="G144" s="74" t="s">
        <v>100</v>
      </c>
      <c r="H144" s="72" t="s">
        <v>101</v>
      </c>
      <c r="I144" s="72" t="n">
        <v>40</v>
      </c>
      <c r="J144" s="72" t="s">
        <v>102</v>
      </c>
      <c r="K144" s="24"/>
      <c r="L144" s="24"/>
      <c r="M144" s="24"/>
      <c r="N144" s="24"/>
      <c r="O144" s="24"/>
    </row>
    <row r="145" customFormat="false" ht="79.85" hidden="false" customHeight="false" outlineLevel="0" collapsed="false">
      <c r="A145" s="71" t="n">
        <v>46423</v>
      </c>
      <c r="B145" s="72" t="n">
        <v>14</v>
      </c>
      <c r="C145" s="72" t="s">
        <v>103</v>
      </c>
      <c r="D145" s="72" t="s">
        <v>235</v>
      </c>
      <c r="E145" s="72" t="s">
        <v>104</v>
      </c>
      <c r="F145" s="75" t="s">
        <v>105</v>
      </c>
      <c r="G145" s="76" t="s">
        <v>244</v>
      </c>
      <c r="H145" s="72" t="s">
        <v>245</v>
      </c>
      <c r="I145" s="72" t="n">
        <v>20</v>
      </c>
      <c r="J145" s="72" t="s">
        <v>102</v>
      </c>
      <c r="K145" s="24"/>
      <c r="L145" s="24"/>
      <c r="M145" s="24"/>
      <c r="N145" s="24"/>
      <c r="O145" s="24"/>
    </row>
    <row r="146" customFormat="false" ht="23.85" hidden="false" customHeight="false" outlineLevel="0" collapsed="false">
      <c r="A146" s="71" t="n">
        <v>46424</v>
      </c>
      <c r="B146" s="72" t="n">
        <v>14</v>
      </c>
      <c r="C146" s="72" t="s">
        <v>108</v>
      </c>
      <c r="D146" s="72" t="s">
        <v>235</v>
      </c>
      <c r="E146" s="72" t="s">
        <v>117</v>
      </c>
      <c r="F146" s="81" t="s">
        <v>246</v>
      </c>
      <c r="G146" s="82" t="s">
        <v>247</v>
      </c>
      <c r="H146" s="72" t="s">
        <v>248</v>
      </c>
      <c r="I146" s="72" t="n">
        <v>0</v>
      </c>
      <c r="J146" s="72" t="s">
        <v>102</v>
      </c>
      <c r="K146" s="24"/>
      <c r="L146" s="24"/>
      <c r="M146" s="24"/>
      <c r="N146" s="24"/>
      <c r="O146" s="24"/>
    </row>
    <row r="147" customFormat="false" ht="35.05" hidden="false" customHeight="false" outlineLevel="0" collapsed="false">
      <c r="A147" s="71" t="n">
        <v>46425</v>
      </c>
      <c r="B147" s="72" t="n">
        <v>14</v>
      </c>
      <c r="C147" s="72" t="s">
        <v>111</v>
      </c>
      <c r="D147" s="72" t="s">
        <v>235</v>
      </c>
      <c r="E147" s="72" t="s">
        <v>104</v>
      </c>
      <c r="F147" s="75" t="s">
        <v>105</v>
      </c>
      <c r="G147" s="76" t="s">
        <v>249</v>
      </c>
      <c r="H147" s="72" t="s">
        <v>250</v>
      </c>
      <c r="I147" s="72" t="n">
        <v>21.1</v>
      </c>
      <c r="J147" s="72" t="s">
        <v>251</v>
      </c>
      <c r="K147" s="24"/>
      <c r="L147" s="24"/>
      <c r="M147" s="24"/>
      <c r="N147" s="24"/>
      <c r="O147" s="24"/>
    </row>
  </sheetData>
  <autoFilter ref="A4:O147"/>
  <dataValidations count="2">
    <dataValidation allowBlank="true" errorStyle="stop" operator="between" showDropDown="false" showErrorMessage="false" showInputMessage="false" sqref="K5:K147" type="list">
      <formula1>"Yes,Partial,No"</formula1>
      <formula2>0</formula2>
    </dataValidation>
    <dataValidation allowBlank="true" errorStyle="stop" operator="between" showDropDown="false" showErrorMessage="false" showInputMessage="false" sqref="N5:N147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7" min="5" style="0" width="9"/>
    <col collapsed="false" customWidth="true" hidden="false" outlineLevel="0" max="8" min="8" style="0" width="8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4" min="13" style="0" width="8"/>
    <col collapsed="false" customWidth="true" hidden="false" outlineLevel="0" max="16" min="15" style="0" width="9"/>
    <col collapsed="false" customWidth="true" hidden="false" outlineLevel="0" max="18" min="17" style="0" width="10"/>
    <col collapsed="false" customWidth="true" hidden="false" outlineLevel="0" max="19" min="19" style="0" width="26"/>
  </cols>
  <sheetData>
    <row r="1" customFormat="false" ht="18.5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35.05" hidden="false" customHeight="false" outlineLevel="0" collapsed="false">
      <c r="A4" s="18" t="s">
        <v>82</v>
      </c>
      <c r="B4" s="18" t="s">
        <v>83</v>
      </c>
      <c r="C4" s="18" t="s">
        <v>84</v>
      </c>
      <c r="D4" s="18" t="s">
        <v>254</v>
      </c>
      <c r="E4" s="18" t="s">
        <v>255</v>
      </c>
      <c r="F4" s="18" t="s">
        <v>256</v>
      </c>
      <c r="G4" s="18" t="s">
        <v>257</v>
      </c>
      <c r="H4" s="18" t="s">
        <v>258</v>
      </c>
      <c r="I4" s="18" t="s">
        <v>259</v>
      </c>
      <c r="J4" s="18" t="s">
        <v>260</v>
      </c>
      <c r="K4" s="18" t="s">
        <v>261</v>
      </c>
      <c r="L4" s="18" t="s">
        <v>262</v>
      </c>
      <c r="M4" s="18" t="s">
        <v>263</v>
      </c>
      <c r="N4" s="18" t="s">
        <v>264</v>
      </c>
      <c r="O4" s="18" t="s">
        <v>265</v>
      </c>
      <c r="P4" s="18" t="s">
        <v>266</v>
      </c>
      <c r="Q4" s="18" t="s">
        <v>267</v>
      </c>
      <c r="R4" s="18" t="s">
        <v>268</v>
      </c>
      <c r="S4" s="18" t="s">
        <v>95</v>
      </c>
    </row>
    <row r="5" customFormat="false" ht="15" hidden="false" customHeight="false" outlineLevel="0" collapsed="false">
      <c r="A5" s="20" t="n">
        <v>46324</v>
      </c>
      <c r="B5" s="21" t="n">
        <v>0</v>
      </c>
      <c r="C5" s="21" t="s">
        <v>96</v>
      </c>
      <c r="D5" s="21" t="s">
        <v>269</v>
      </c>
      <c r="E5" s="83"/>
      <c r="F5" s="9" t="str">
        <f aca="false">IF(COUNT(E5:E5)=0,"",AVERAGE(E5:E5))</f>
        <v/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customFormat="false" ht="15" hidden="false" customHeight="false" outlineLevel="0" collapsed="false">
      <c r="A6" s="20" t="n">
        <v>46325</v>
      </c>
      <c r="B6" s="21" t="n">
        <v>0</v>
      </c>
      <c r="C6" s="21" t="s">
        <v>103</v>
      </c>
      <c r="D6" s="21"/>
      <c r="E6" s="83"/>
      <c r="F6" s="9" t="str">
        <f aca="false">IF(COUNT(E5:E6)=0,"",AVERAGE(E5:E6))</f>
        <v/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84" t="s">
        <v>270</v>
      </c>
      <c r="R6" s="24"/>
      <c r="S6" s="24"/>
    </row>
    <row r="7" customFormat="false" ht="15" hidden="false" customHeight="false" outlineLevel="0" collapsed="false">
      <c r="A7" s="20" t="n">
        <v>46326</v>
      </c>
      <c r="B7" s="21" t="n">
        <v>0</v>
      </c>
      <c r="C7" s="21" t="s">
        <v>108</v>
      </c>
      <c r="D7" s="21"/>
      <c r="E7" s="83"/>
      <c r="F7" s="9" t="str">
        <f aca="false">IF(COUNT(E5:E7)=0,"",AVERAGE(E5:E7))</f>
        <v/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84" t="s">
        <v>270</v>
      </c>
      <c r="R7" s="24"/>
      <c r="S7" s="24"/>
    </row>
    <row r="8" customFormat="false" ht="15" hidden="false" customHeight="false" outlineLevel="0" collapsed="false">
      <c r="A8" s="20" t="n">
        <v>46327</v>
      </c>
      <c r="B8" s="21" t="n">
        <v>0</v>
      </c>
      <c r="C8" s="21" t="s">
        <v>111</v>
      </c>
      <c r="D8" s="21"/>
      <c r="E8" s="83"/>
      <c r="F8" s="9" t="str">
        <f aca="false">IF(COUNT(E5:E8)=0,"",AVERAGE(E5:E8))</f>
        <v/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84" t="s">
        <v>270</v>
      </c>
      <c r="R8" s="24"/>
      <c r="S8" s="24"/>
    </row>
    <row r="9" customFormat="false" ht="15" hidden="false" customHeight="false" outlineLevel="0" collapsed="false">
      <c r="A9" s="20" t="n">
        <v>46328</v>
      </c>
      <c r="B9" s="21" t="n">
        <v>1</v>
      </c>
      <c r="C9" s="21" t="s">
        <v>120</v>
      </c>
      <c r="D9" s="21" t="s">
        <v>269</v>
      </c>
      <c r="E9" s="83"/>
      <c r="F9" s="9" t="str">
        <f aca="false">IF(COUNT(E5:E9)=0,"",AVERAGE(E5:E9))</f>
        <v/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customFormat="false" ht="15" hidden="false" customHeight="false" outlineLevel="0" collapsed="false">
      <c r="A10" s="20" t="n">
        <v>46329</v>
      </c>
      <c r="B10" s="21" t="n">
        <v>1</v>
      </c>
      <c r="C10" s="21" t="s">
        <v>121</v>
      </c>
      <c r="D10" s="21"/>
      <c r="E10" s="83"/>
      <c r="F10" s="9" t="str">
        <f aca="false">IF(COUNT(E5:E10)=0,"",AVERAGE(E5:E10))</f>
        <v/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84" t="s">
        <v>270</v>
      </c>
      <c r="R10" s="24"/>
      <c r="S10" s="24"/>
    </row>
    <row r="11" customFormat="false" ht="23.85" hidden="false" customHeight="false" outlineLevel="0" collapsed="false">
      <c r="A11" s="20" t="n">
        <v>46330</v>
      </c>
      <c r="B11" s="21" t="n">
        <v>1</v>
      </c>
      <c r="C11" s="21" t="s">
        <v>125</v>
      </c>
      <c r="D11" s="21"/>
      <c r="E11" s="83"/>
      <c r="F11" s="9" t="str">
        <f aca="false">IF(COUNT(E5:E11)=0,"",AVERAGE(E5:E11))</f>
        <v/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84" t="s">
        <v>270</v>
      </c>
      <c r="R11" s="24"/>
      <c r="S11" s="24"/>
    </row>
    <row r="12" customFormat="false" ht="15" hidden="false" customHeight="false" outlineLevel="0" collapsed="false">
      <c r="A12" s="20" t="n">
        <v>46331</v>
      </c>
      <c r="B12" s="21" t="n">
        <v>1</v>
      </c>
      <c r="C12" s="21" t="s">
        <v>96</v>
      </c>
      <c r="D12" s="21" t="s">
        <v>269</v>
      </c>
      <c r="E12" s="83"/>
      <c r="F12" s="9" t="str">
        <f aca="false">IF(COUNT(E6:E12)=0,"",AVERAGE(E6:E12))</f>
        <v/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customFormat="false" ht="15" hidden="false" customHeight="false" outlineLevel="0" collapsed="false">
      <c r="A13" s="20" t="n">
        <v>46332</v>
      </c>
      <c r="B13" s="21" t="n">
        <v>1</v>
      </c>
      <c r="C13" s="21" t="s">
        <v>103</v>
      </c>
      <c r="D13" s="21"/>
      <c r="E13" s="83"/>
      <c r="F13" s="9" t="str">
        <f aca="false">IF(COUNT(E7:E13)=0,"",AVERAGE(E7:E13))</f>
        <v/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84" t="s">
        <v>270</v>
      </c>
      <c r="R13" s="24"/>
      <c r="S13" s="24"/>
    </row>
    <row r="14" customFormat="false" ht="15" hidden="false" customHeight="false" outlineLevel="0" collapsed="false">
      <c r="A14" s="20" t="n">
        <v>46333</v>
      </c>
      <c r="B14" s="21" t="n">
        <v>1</v>
      </c>
      <c r="C14" s="21" t="s">
        <v>108</v>
      </c>
      <c r="D14" s="21"/>
      <c r="E14" s="83"/>
      <c r="F14" s="9" t="str">
        <f aca="false">IF(COUNT(E8:E14)=0,"",AVERAGE(E8:E14))</f>
        <v/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84" t="s">
        <v>270</v>
      </c>
      <c r="R14" s="24"/>
      <c r="S14" s="24"/>
    </row>
    <row r="15" customFormat="false" ht="15" hidden="false" customHeight="false" outlineLevel="0" collapsed="false">
      <c r="A15" s="20" t="n">
        <v>46334</v>
      </c>
      <c r="B15" s="21" t="n">
        <v>1</v>
      </c>
      <c r="C15" s="21" t="s">
        <v>111</v>
      </c>
      <c r="D15" s="21"/>
      <c r="E15" s="83"/>
      <c r="F15" s="9" t="str">
        <f aca="false">IF(COUNT(E9:E15)=0,"",AVERAGE(E9:E15))</f>
        <v/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84" t="s">
        <v>270</v>
      </c>
      <c r="R15" s="24"/>
      <c r="S15" s="24"/>
    </row>
    <row r="16" customFormat="false" ht="15" hidden="false" customHeight="false" outlineLevel="0" collapsed="false">
      <c r="A16" s="20" t="n">
        <v>46335</v>
      </c>
      <c r="B16" s="21" t="n">
        <v>2</v>
      </c>
      <c r="C16" s="21" t="s">
        <v>120</v>
      </c>
      <c r="D16" s="21" t="s">
        <v>269</v>
      </c>
      <c r="E16" s="83"/>
      <c r="F16" s="9" t="str">
        <f aca="false">IF(COUNT(E10:E16)=0,"",AVERAGE(E10:E16))</f>
        <v/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customFormat="false" ht="15" hidden="false" customHeight="false" outlineLevel="0" collapsed="false">
      <c r="A17" s="20" t="n">
        <v>46336</v>
      </c>
      <c r="B17" s="21" t="n">
        <v>2</v>
      </c>
      <c r="C17" s="21" t="s">
        <v>121</v>
      </c>
      <c r="D17" s="21"/>
      <c r="E17" s="83"/>
      <c r="F17" s="9" t="str">
        <f aca="false">IF(COUNT(E11:E17)=0,"",AVERAGE(E11:E17))</f>
        <v/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84" t="s">
        <v>270</v>
      </c>
      <c r="R17" s="24"/>
      <c r="S17" s="24"/>
    </row>
    <row r="18" customFormat="false" ht="23.85" hidden="false" customHeight="false" outlineLevel="0" collapsed="false">
      <c r="A18" s="20" t="n">
        <v>46337</v>
      </c>
      <c r="B18" s="21" t="n">
        <v>2</v>
      </c>
      <c r="C18" s="21" t="s">
        <v>125</v>
      </c>
      <c r="D18" s="21"/>
      <c r="E18" s="83"/>
      <c r="F18" s="9" t="str">
        <f aca="false">IF(COUNT(E12:E18)=0,"",AVERAGE(E12:E18))</f>
        <v/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84" t="s">
        <v>270</v>
      </c>
      <c r="R18" s="24"/>
      <c r="S18" s="24"/>
    </row>
    <row r="19" customFormat="false" ht="15" hidden="false" customHeight="false" outlineLevel="0" collapsed="false">
      <c r="A19" s="20" t="n">
        <v>46338</v>
      </c>
      <c r="B19" s="21" t="n">
        <v>2</v>
      </c>
      <c r="C19" s="21" t="s">
        <v>96</v>
      </c>
      <c r="D19" s="21" t="s">
        <v>269</v>
      </c>
      <c r="E19" s="83"/>
      <c r="F19" s="9" t="str">
        <f aca="false">IF(COUNT(E13:E19)=0,"",AVERAGE(E13:E19))</f>
        <v/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customFormat="false" ht="15" hidden="false" customHeight="false" outlineLevel="0" collapsed="false">
      <c r="A20" s="20" t="n">
        <v>46339</v>
      </c>
      <c r="B20" s="21" t="n">
        <v>2</v>
      </c>
      <c r="C20" s="21" t="s">
        <v>103</v>
      </c>
      <c r="D20" s="21"/>
      <c r="E20" s="83"/>
      <c r="F20" s="9" t="str">
        <f aca="false">IF(COUNT(E14:E20)=0,"",AVERAGE(E14:E20))</f>
        <v/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84" t="s">
        <v>270</v>
      </c>
      <c r="R20" s="24"/>
      <c r="S20" s="24"/>
    </row>
    <row r="21" customFormat="false" ht="15" hidden="false" customHeight="false" outlineLevel="0" collapsed="false">
      <c r="A21" s="20" t="n">
        <v>46340</v>
      </c>
      <c r="B21" s="21" t="n">
        <v>2</v>
      </c>
      <c r="C21" s="21" t="s">
        <v>108</v>
      </c>
      <c r="D21" s="21"/>
      <c r="E21" s="83"/>
      <c r="F21" s="9" t="str">
        <f aca="false">IF(COUNT(E15:E21)=0,"",AVERAGE(E15:E21))</f>
        <v/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84" t="s">
        <v>270</v>
      </c>
      <c r="R21" s="24"/>
      <c r="S21" s="24"/>
    </row>
    <row r="22" customFormat="false" ht="15" hidden="false" customHeight="false" outlineLevel="0" collapsed="false">
      <c r="A22" s="20" t="n">
        <v>46341</v>
      </c>
      <c r="B22" s="21" t="n">
        <v>2</v>
      </c>
      <c r="C22" s="21" t="s">
        <v>111</v>
      </c>
      <c r="D22" s="21"/>
      <c r="E22" s="83"/>
      <c r="F22" s="9" t="str">
        <f aca="false">IF(COUNT(E16:E22)=0,"",AVERAGE(E16:E22))</f>
        <v/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84" t="s">
        <v>270</v>
      </c>
      <c r="R22" s="24"/>
      <c r="S22" s="24"/>
    </row>
    <row r="23" customFormat="false" ht="15" hidden="false" customHeight="false" outlineLevel="0" collapsed="false">
      <c r="A23" s="20" t="n">
        <v>46342</v>
      </c>
      <c r="B23" s="21" t="n">
        <v>3</v>
      </c>
      <c r="C23" s="21" t="s">
        <v>120</v>
      </c>
      <c r="D23" s="21" t="s">
        <v>269</v>
      </c>
      <c r="E23" s="83"/>
      <c r="F23" s="9" t="str">
        <f aca="false">IF(COUNT(E17:E23)=0,"",AVERAGE(E17:E23))</f>
        <v/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customFormat="false" ht="15" hidden="false" customHeight="false" outlineLevel="0" collapsed="false">
      <c r="A24" s="20" t="n">
        <v>46343</v>
      </c>
      <c r="B24" s="21" t="n">
        <v>3</v>
      </c>
      <c r="C24" s="21" t="s">
        <v>121</v>
      </c>
      <c r="D24" s="21"/>
      <c r="E24" s="83"/>
      <c r="F24" s="9" t="str">
        <f aca="false">IF(COUNT(E18:E24)=0,"",AVERAGE(E18:E24))</f>
        <v/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84" t="s">
        <v>270</v>
      </c>
      <c r="R24" s="24"/>
      <c r="S24" s="24"/>
    </row>
    <row r="25" customFormat="false" ht="23.85" hidden="false" customHeight="false" outlineLevel="0" collapsed="false">
      <c r="A25" s="20" t="n">
        <v>46344</v>
      </c>
      <c r="B25" s="21" t="n">
        <v>3</v>
      </c>
      <c r="C25" s="21" t="s">
        <v>125</v>
      </c>
      <c r="D25" s="21"/>
      <c r="E25" s="83"/>
      <c r="F25" s="9" t="str">
        <f aca="false">IF(COUNT(E19:E25)=0,"",AVERAGE(E19:E25))</f>
        <v/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84" t="s">
        <v>270</v>
      </c>
      <c r="R25" s="24"/>
      <c r="S25" s="24"/>
    </row>
    <row r="26" customFormat="false" ht="15" hidden="false" customHeight="false" outlineLevel="0" collapsed="false">
      <c r="A26" s="20" t="n">
        <v>46345</v>
      </c>
      <c r="B26" s="21" t="n">
        <v>3</v>
      </c>
      <c r="C26" s="21" t="s">
        <v>96</v>
      </c>
      <c r="D26" s="21" t="s">
        <v>269</v>
      </c>
      <c r="E26" s="83"/>
      <c r="F26" s="9" t="str">
        <f aca="false">IF(COUNT(E20:E26)=0,"",AVERAGE(E20:E26))</f>
        <v/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customFormat="false" ht="15" hidden="false" customHeight="false" outlineLevel="0" collapsed="false">
      <c r="A27" s="20" t="n">
        <v>46346</v>
      </c>
      <c r="B27" s="21" t="n">
        <v>3</v>
      </c>
      <c r="C27" s="21" t="s">
        <v>103</v>
      </c>
      <c r="D27" s="21"/>
      <c r="E27" s="83"/>
      <c r="F27" s="9" t="str">
        <f aca="false">IF(COUNT(E21:E27)=0,"",AVERAGE(E21:E27))</f>
        <v/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84" t="s">
        <v>270</v>
      </c>
      <c r="R27" s="24"/>
      <c r="S27" s="24"/>
    </row>
    <row r="28" customFormat="false" ht="15" hidden="false" customHeight="false" outlineLevel="0" collapsed="false">
      <c r="A28" s="20" t="n">
        <v>46347</v>
      </c>
      <c r="B28" s="21" t="n">
        <v>3</v>
      </c>
      <c r="C28" s="21" t="s">
        <v>108</v>
      </c>
      <c r="D28" s="21"/>
      <c r="E28" s="83"/>
      <c r="F28" s="9" t="str">
        <f aca="false">IF(COUNT(E22:E28)=0,"",AVERAGE(E22:E28))</f>
        <v/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84" t="s">
        <v>270</v>
      </c>
      <c r="R28" s="24"/>
      <c r="S28" s="24"/>
    </row>
    <row r="29" customFormat="false" ht="15" hidden="false" customHeight="false" outlineLevel="0" collapsed="false">
      <c r="A29" s="20" t="n">
        <v>46348</v>
      </c>
      <c r="B29" s="21" t="n">
        <v>3</v>
      </c>
      <c r="C29" s="21" t="s">
        <v>111</v>
      </c>
      <c r="D29" s="21"/>
      <c r="E29" s="83"/>
      <c r="F29" s="9" t="str">
        <f aca="false">IF(COUNT(E23:E29)=0,"",AVERAGE(E23:E29))</f>
        <v/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84" t="s">
        <v>270</v>
      </c>
      <c r="R29" s="24"/>
      <c r="S29" s="24"/>
    </row>
    <row r="30" customFormat="false" ht="15" hidden="false" customHeight="false" outlineLevel="0" collapsed="false">
      <c r="A30" s="20" t="n">
        <v>46349</v>
      </c>
      <c r="B30" s="21" t="n">
        <v>4</v>
      </c>
      <c r="C30" s="21" t="s">
        <v>120</v>
      </c>
      <c r="D30" s="21" t="s">
        <v>269</v>
      </c>
      <c r="E30" s="83"/>
      <c r="F30" s="9" t="str">
        <f aca="false">IF(COUNT(E24:E30)=0,"",AVERAGE(E24:E30))</f>
        <v/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customFormat="false" ht="15" hidden="false" customHeight="false" outlineLevel="0" collapsed="false">
      <c r="A31" s="20" t="n">
        <v>46350</v>
      </c>
      <c r="B31" s="21" t="n">
        <v>4</v>
      </c>
      <c r="C31" s="21" t="s">
        <v>121</v>
      </c>
      <c r="D31" s="21"/>
      <c r="E31" s="83"/>
      <c r="F31" s="9" t="str">
        <f aca="false">IF(COUNT(E25:E31)=0,"",AVERAGE(E25:E31))</f>
        <v/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84" t="s">
        <v>270</v>
      </c>
      <c r="R31" s="24"/>
      <c r="S31" s="24"/>
    </row>
    <row r="32" customFormat="false" ht="23.85" hidden="false" customHeight="false" outlineLevel="0" collapsed="false">
      <c r="A32" s="20" t="n">
        <v>46351</v>
      </c>
      <c r="B32" s="21" t="n">
        <v>4</v>
      </c>
      <c r="C32" s="21" t="s">
        <v>125</v>
      </c>
      <c r="D32" s="21"/>
      <c r="E32" s="83"/>
      <c r="F32" s="9" t="str">
        <f aca="false">IF(COUNT(E26:E32)=0,"",AVERAGE(E26:E32))</f>
        <v/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84" t="s">
        <v>270</v>
      </c>
      <c r="R32" s="24"/>
      <c r="S32" s="24"/>
    </row>
    <row r="33" customFormat="false" ht="15" hidden="false" customHeight="false" outlineLevel="0" collapsed="false">
      <c r="A33" s="20" t="n">
        <v>46352</v>
      </c>
      <c r="B33" s="21" t="n">
        <v>4</v>
      </c>
      <c r="C33" s="21" t="s">
        <v>96</v>
      </c>
      <c r="D33" s="21" t="s">
        <v>269</v>
      </c>
      <c r="E33" s="83"/>
      <c r="F33" s="9" t="str">
        <f aca="false">IF(COUNT(E27:E33)=0,"",AVERAGE(E27:E33))</f>
        <v/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customFormat="false" ht="15" hidden="false" customHeight="false" outlineLevel="0" collapsed="false">
      <c r="A34" s="20" t="n">
        <v>46353</v>
      </c>
      <c r="B34" s="21" t="n">
        <v>4</v>
      </c>
      <c r="C34" s="21" t="s">
        <v>103</v>
      </c>
      <c r="D34" s="21"/>
      <c r="E34" s="83"/>
      <c r="F34" s="9" t="str">
        <f aca="false">IF(COUNT(E28:E34)=0,"",AVERAGE(E28:E34))</f>
        <v/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84" t="s">
        <v>270</v>
      </c>
      <c r="R34" s="24"/>
      <c r="S34" s="24"/>
    </row>
    <row r="35" customFormat="false" ht="15" hidden="false" customHeight="false" outlineLevel="0" collapsed="false">
      <c r="A35" s="20" t="n">
        <v>46354</v>
      </c>
      <c r="B35" s="21" t="n">
        <v>4</v>
      </c>
      <c r="C35" s="21" t="s">
        <v>108</v>
      </c>
      <c r="D35" s="21"/>
      <c r="E35" s="83"/>
      <c r="F35" s="9" t="str">
        <f aca="false">IF(COUNT(E29:E35)=0,"",AVERAGE(E29:E35))</f>
        <v/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84" t="s">
        <v>270</v>
      </c>
      <c r="R35" s="24"/>
      <c r="S35" s="24"/>
    </row>
    <row r="36" customFormat="false" ht="15" hidden="false" customHeight="false" outlineLevel="0" collapsed="false">
      <c r="A36" s="20" t="n">
        <v>46355</v>
      </c>
      <c r="B36" s="21" t="n">
        <v>4</v>
      </c>
      <c r="C36" s="21" t="s">
        <v>111</v>
      </c>
      <c r="D36" s="21"/>
      <c r="E36" s="83"/>
      <c r="F36" s="9" t="str">
        <f aca="false">IF(COUNT(E30:E36)=0,"",AVERAGE(E30:E36))</f>
        <v/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84" t="s">
        <v>270</v>
      </c>
      <c r="R36" s="24"/>
      <c r="S36" s="24"/>
    </row>
    <row r="37" customFormat="false" ht="15" hidden="false" customHeight="false" outlineLevel="0" collapsed="false">
      <c r="A37" s="31" t="n">
        <v>46356</v>
      </c>
      <c r="B37" s="32" t="n">
        <v>5</v>
      </c>
      <c r="C37" s="32" t="s">
        <v>120</v>
      </c>
      <c r="D37" s="32" t="s">
        <v>269</v>
      </c>
      <c r="E37" s="83"/>
      <c r="F37" s="9" t="str">
        <f aca="false">IF(COUNT(E31:E37)=0,"",AVERAGE(E31:E37))</f>
        <v/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customFormat="false" ht="15" hidden="false" customHeight="false" outlineLevel="0" collapsed="false">
      <c r="A38" s="31" t="n">
        <v>46357</v>
      </c>
      <c r="B38" s="32" t="n">
        <v>5</v>
      </c>
      <c r="C38" s="32" t="s">
        <v>121</v>
      </c>
      <c r="D38" s="32"/>
      <c r="E38" s="83"/>
      <c r="F38" s="9" t="str">
        <f aca="false">IF(COUNT(E32:E38)=0,"",AVERAGE(E32:E38))</f>
        <v/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84" t="s">
        <v>270</v>
      </c>
      <c r="R38" s="24"/>
      <c r="S38" s="24"/>
    </row>
    <row r="39" customFormat="false" ht="23.85" hidden="false" customHeight="false" outlineLevel="0" collapsed="false">
      <c r="A39" s="31" t="n">
        <v>46358</v>
      </c>
      <c r="B39" s="32" t="n">
        <v>5</v>
      </c>
      <c r="C39" s="32" t="s">
        <v>125</v>
      </c>
      <c r="D39" s="32"/>
      <c r="E39" s="83"/>
      <c r="F39" s="9" t="str">
        <f aca="false">IF(COUNT(E33:E39)=0,"",AVERAGE(E33:E39))</f>
        <v/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84" t="s">
        <v>270</v>
      </c>
      <c r="R39" s="24"/>
      <c r="S39" s="24"/>
    </row>
    <row r="40" customFormat="false" ht="15" hidden="false" customHeight="false" outlineLevel="0" collapsed="false">
      <c r="A40" s="31" t="n">
        <v>46359</v>
      </c>
      <c r="B40" s="32" t="n">
        <v>5</v>
      </c>
      <c r="C40" s="32" t="s">
        <v>96</v>
      </c>
      <c r="D40" s="32" t="s">
        <v>269</v>
      </c>
      <c r="E40" s="83"/>
      <c r="F40" s="9" t="str">
        <f aca="false">IF(COUNT(E34:E40)=0,"",AVERAGE(E34:E40))</f>
        <v/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customFormat="false" ht="15" hidden="false" customHeight="false" outlineLevel="0" collapsed="false">
      <c r="A41" s="31" t="n">
        <v>46360</v>
      </c>
      <c r="B41" s="32" t="n">
        <v>5</v>
      </c>
      <c r="C41" s="32" t="s">
        <v>103</v>
      </c>
      <c r="D41" s="32"/>
      <c r="E41" s="83"/>
      <c r="F41" s="9" t="str">
        <f aca="false">IF(COUNT(E35:E41)=0,"",AVERAGE(E35:E41))</f>
        <v/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84" t="s">
        <v>270</v>
      </c>
      <c r="R41" s="24"/>
      <c r="S41" s="24"/>
    </row>
    <row r="42" customFormat="false" ht="15" hidden="false" customHeight="false" outlineLevel="0" collapsed="false">
      <c r="A42" s="31" t="n">
        <v>46361</v>
      </c>
      <c r="B42" s="32" t="n">
        <v>5</v>
      </c>
      <c r="C42" s="32" t="s">
        <v>108</v>
      </c>
      <c r="D42" s="32"/>
      <c r="E42" s="83"/>
      <c r="F42" s="9" t="str">
        <f aca="false">IF(COUNT(E36:E42)=0,"",AVERAGE(E36:E42))</f>
        <v/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84" t="s">
        <v>270</v>
      </c>
      <c r="R42" s="24"/>
      <c r="S42" s="24"/>
    </row>
    <row r="43" customFormat="false" ht="15" hidden="false" customHeight="false" outlineLevel="0" collapsed="false">
      <c r="A43" s="31" t="n">
        <v>46362</v>
      </c>
      <c r="B43" s="32" t="n">
        <v>5</v>
      </c>
      <c r="C43" s="32" t="s">
        <v>111</v>
      </c>
      <c r="D43" s="32"/>
      <c r="E43" s="83"/>
      <c r="F43" s="9" t="str">
        <f aca="false">IF(COUNT(E37:E43)=0,"",AVERAGE(E37:E43))</f>
        <v/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84" t="s">
        <v>270</v>
      </c>
      <c r="R43" s="24"/>
      <c r="S43" s="24"/>
    </row>
    <row r="44" customFormat="false" ht="15" hidden="false" customHeight="false" outlineLevel="0" collapsed="false">
      <c r="A44" s="31" t="n">
        <v>46363</v>
      </c>
      <c r="B44" s="32" t="n">
        <v>6</v>
      </c>
      <c r="C44" s="32" t="s">
        <v>120</v>
      </c>
      <c r="D44" s="32" t="s">
        <v>269</v>
      </c>
      <c r="E44" s="83"/>
      <c r="F44" s="9" t="str">
        <f aca="false">IF(COUNT(E38:E44)=0,"",AVERAGE(E38:E44))</f>
        <v/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customFormat="false" ht="15" hidden="false" customHeight="false" outlineLevel="0" collapsed="false">
      <c r="A45" s="31" t="n">
        <v>46364</v>
      </c>
      <c r="B45" s="32" t="n">
        <v>6</v>
      </c>
      <c r="C45" s="32" t="s">
        <v>121</v>
      </c>
      <c r="D45" s="32"/>
      <c r="E45" s="83"/>
      <c r="F45" s="9" t="str">
        <f aca="false">IF(COUNT(E39:E45)=0,"",AVERAGE(E39:E45))</f>
        <v/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84" t="s">
        <v>270</v>
      </c>
      <c r="R45" s="24"/>
      <c r="S45" s="24"/>
    </row>
    <row r="46" customFormat="false" ht="23.85" hidden="false" customHeight="false" outlineLevel="0" collapsed="false">
      <c r="A46" s="31" t="n">
        <v>46365</v>
      </c>
      <c r="B46" s="32" t="n">
        <v>6</v>
      </c>
      <c r="C46" s="32" t="s">
        <v>125</v>
      </c>
      <c r="D46" s="32"/>
      <c r="E46" s="83"/>
      <c r="F46" s="9" t="str">
        <f aca="false">IF(COUNT(E40:E46)=0,"",AVERAGE(E40:E46))</f>
        <v/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84" t="s">
        <v>270</v>
      </c>
      <c r="R46" s="24"/>
      <c r="S46" s="24"/>
    </row>
    <row r="47" customFormat="false" ht="15" hidden="false" customHeight="false" outlineLevel="0" collapsed="false">
      <c r="A47" s="31" t="n">
        <v>46366</v>
      </c>
      <c r="B47" s="32" t="n">
        <v>6</v>
      </c>
      <c r="C47" s="32" t="s">
        <v>96</v>
      </c>
      <c r="D47" s="32" t="s">
        <v>269</v>
      </c>
      <c r="E47" s="83"/>
      <c r="F47" s="9" t="str">
        <f aca="false">IF(COUNT(E41:E47)=0,"",AVERAGE(E41:E47))</f>
        <v/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customFormat="false" ht="15" hidden="false" customHeight="false" outlineLevel="0" collapsed="false">
      <c r="A48" s="31" t="n">
        <v>46367</v>
      </c>
      <c r="B48" s="32" t="n">
        <v>6</v>
      </c>
      <c r="C48" s="32" t="s">
        <v>103</v>
      </c>
      <c r="D48" s="32"/>
      <c r="E48" s="83"/>
      <c r="F48" s="9" t="str">
        <f aca="false">IF(COUNT(E42:E48)=0,"",AVERAGE(E42:E48))</f>
        <v/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84" t="s">
        <v>270</v>
      </c>
      <c r="R48" s="24"/>
      <c r="S48" s="24"/>
    </row>
    <row r="49" customFormat="false" ht="15" hidden="false" customHeight="false" outlineLevel="0" collapsed="false">
      <c r="A49" s="31" t="n">
        <v>46368</v>
      </c>
      <c r="B49" s="32" t="n">
        <v>6</v>
      </c>
      <c r="C49" s="32" t="s">
        <v>108</v>
      </c>
      <c r="D49" s="32"/>
      <c r="E49" s="83"/>
      <c r="F49" s="9" t="str">
        <f aca="false">IF(COUNT(E43:E49)=0,"",AVERAGE(E43:E49))</f>
        <v/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84" t="s">
        <v>270</v>
      </c>
      <c r="R49" s="24"/>
      <c r="S49" s="24"/>
    </row>
    <row r="50" customFormat="false" ht="15" hidden="false" customHeight="false" outlineLevel="0" collapsed="false">
      <c r="A50" s="31" t="n">
        <v>46369</v>
      </c>
      <c r="B50" s="32" t="n">
        <v>6</v>
      </c>
      <c r="C50" s="32" t="s">
        <v>111</v>
      </c>
      <c r="D50" s="32"/>
      <c r="E50" s="83"/>
      <c r="F50" s="9" t="str">
        <f aca="false">IF(COUNT(E44:E50)=0,"",AVERAGE(E44:E50))</f>
        <v/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84" t="s">
        <v>270</v>
      </c>
      <c r="R50" s="24"/>
      <c r="S50" s="24"/>
    </row>
    <row r="51" customFormat="false" ht="15" hidden="false" customHeight="false" outlineLevel="0" collapsed="false">
      <c r="A51" s="31" t="n">
        <v>46370</v>
      </c>
      <c r="B51" s="32" t="n">
        <v>7</v>
      </c>
      <c r="C51" s="32" t="s">
        <v>120</v>
      </c>
      <c r="D51" s="32" t="s">
        <v>269</v>
      </c>
      <c r="E51" s="83"/>
      <c r="F51" s="9" t="str">
        <f aca="false">IF(COUNT(E45:E51)=0,"",AVERAGE(E45:E51))</f>
        <v/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customFormat="false" ht="15" hidden="false" customHeight="false" outlineLevel="0" collapsed="false">
      <c r="A52" s="31" t="n">
        <v>46371</v>
      </c>
      <c r="B52" s="32" t="n">
        <v>7</v>
      </c>
      <c r="C52" s="32" t="s">
        <v>121</v>
      </c>
      <c r="D52" s="32"/>
      <c r="E52" s="83"/>
      <c r="F52" s="9" t="str">
        <f aca="false">IF(COUNT(E46:E52)=0,"",AVERAGE(E46:E52))</f>
        <v/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84" t="s">
        <v>270</v>
      </c>
      <c r="R52" s="24"/>
      <c r="S52" s="24"/>
    </row>
    <row r="53" customFormat="false" ht="23.85" hidden="false" customHeight="false" outlineLevel="0" collapsed="false">
      <c r="A53" s="31" t="n">
        <v>46372</v>
      </c>
      <c r="B53" s="32" t="n">
        <v>7</v>
      </c>
      <c r="C53" s="32" t="s">
        <v>125</v>
      </c>
      <c r="D53" s="32"/>
      <c r="E53" s="83"/>
      <c r="F53" s="9" t="str">
        <f aca="false">IF(COUNT(E47:E53)=0,"",AVERAGE(E47:E53))</f>
        <v/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84" t="s">
        <v>270</v>
      </c>
      <c r="R53" s="24"/>
      <c r="S53" s="24"/>
    </row>
    <row r="54" customFormat="false" ht="15" hidden="false" customHeight="false" outlineLevel="0" collapsed="false">
      <c r="A54" s="31" t="n">
        <v>46373</v>
      </c>
      <c r="B54" s="32" t="n">
        <v>7</v>
      </c>
      <c r="C54" s="32" t="s">
        <v>96</v>
      </c>
      <c r="D54" s="32" t="s">
        <v>269</v>
      </c>
      <c r="E54" s="83"/>
      <c r="F54" s="9" t="str">
        <f aca="false">IF(COUNT(E48:E54)=0,"",AVERAGE(E48:E54))</f>
        <v/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customFormat="false" ht="15" hidden="false" customHeight="false" outlineLevel="0" collapsed="false">
      <c r="A55" s="31" t="n">
        <v>46374</v>
      </c>
      <c r="B55" s="32" t="n">
        <v>7</v>
      </c>
      <c r="C55" s="32" t="s">
        <v>103</v>
      </c>
      <c r="D55" s="32"/>
      <c r="E55" s="83"/>
      <c r="F55" s="9" t="str">
        <f aca="false">IF(COUNT(E49:E55)=0,"",AVERAGE(E49:E55))</f>
        <v/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84" t="s">
        <v>270</v>
      </c>
      <c r="R55" s="24"/>
      <c r="S55" s="24"/>
    </row>
    <row r="56" customFormat="false" ht="15" hidden="false" customHeight="false" outlineLevel="0" collapsed="false">
      <c r="A56" s="31" t="n">
        <v>46375</v>
      </c>
      <c r="B56" s="32" t="n">
        <v>7</v>
      </c>
      <c r="C56" s="32" t="s">
        <v>108</v>
      </c>
      <c r="D56" s="32"/>
      <c r="E56" s="83"/>
      <c r="F56" s="9" t="str">
        <f aca="false">IF(COUNT(E50:E56)=0,"",AVERAGE(E50:E56))</f>
        <v/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84" t="s">
        <v>270</v>
      </c>
      <c r="R56" s="24"/>
      <c r="S56" s="24"/>
    </row>
    <row r="57" customFormat="false" ht="15" hidden="false" customHeight="false" outlineLevel="0" collapsed="false">
      <c r="A57" s="31" t="n">
        <v>46376</v>
      </c>
      <c r="B57" s="32" t="n">
        <v>7</v>
      </c>
      <c r="C57" s="32" t="s">
        <v>111</v>
      </c>
      <c r="D57" s="32"/>
      <c r="E57" s="83"/>
      <c r="F57" s="9" t="str">
        <f aca="false">IF(COUNT(E51:E57)=0,"",AVERAGE(E51:E57))</f>
        <v/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84" t="s">
        <v>270</v>
      </c>
      <c r="R57" s="24"/>
      <c r="S57" s="24"/>
    </row>
    <row r="58" customFormat="false" ht="15" hidden="false" customHeight="false" outlineLevel="0" collapsed="false">
      <c r="A58" s="31" t="n">
        <v>46377</v>
      </c>
      <c r="B58" s="32" t="n">
        <v>8</v>
      </c>
      <c r="C58" s="32" t="s">
        <v>120</v>
      </c>
      <c r="D58" s="32" t="s">
        <v>269</v>
      </c>
      <c r="E58" s="83"/>
      <c r="F58" s="9" t="str">
        <f aca="false">IF(COUNT(E52:E58)=0,"",AVERAGE(E52:E58))</f>
        <v/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customFormat="false" ht="15" hidden="false" customHeight="false" outlineLevel="0" collapsed="false">
      <c r="A59" s="31" t="n">
        <v>46378</v>
      </c>
      <c r="B59" s="32" t="n">
        <v>8</v>
      </c>
      <c r="C59" s="32" t="s">
        <v>121</v>
      </c>
      <c r="D59" s="32"/>
      <c r="E59" s="83"/>
      <c r="F59" s="9" t="str">
        <f aca="false">IF(COUNT(E53:E59)=0,"",AVERAGE(E53:E59))</f>
        <v/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84" t="s">
        <v>270</v>
      </c>
      <c r="R59" s="24"/>
      <c r="S59" s="24"/>
    </row>
    <row r="60" customFormat="false" ht="23.85" hidden="false" customHeight="false" outlineLevel="0" collapsed="false">
      <c r="A60" s="31" t="n">
        <v>46379</v>
      </c>
      <c r="B60" s="32" t="n">
        <v>8</v>
      </c>
      <c r="C60" s="32" t="s">
        <v>125</v>
      </c>
      <c r="D60" s="32"/>
      <c r="E60" s="83"/>
      <c r="F60" s="9" t="str">
        <f aca="false">IF(COUNT(E54:E60)=0,"",AVERAGE(E54:E60))</f>
        <v/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84" t="s">
        <v>270</v>
      </c>
      <c r="R60" s="24"/>
      <c r="S60" s="24"/>
    </row>
    <row r="61" customFormat="false" ht="15" hidden="false" customHeight="false" outlineLevel="0" collapsed="false">
      <c r="A61" s="31" t="n">
        <v>46380</v>
      </c>
      <c r="B61" s="32" t="n">
        <v>8</v>
      </c>
      <c r="C61" s="32" t="s">
        <v>96</v>
      </c>
      <c r="D61" s="32" t="s">
        <v>269</v>
      </c>
      <c r="E61" s="83"/>
      <c r="F61" s="9" t="str">
        <f aca="false">IF(COUNT(E55:E61)=0,"",AVERAGE(E55:E61))</f>
        <v/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customFormat="false" ht="15" hidden="false" customHeight="false" outlineLevel="0" collapsed="false">
      <c r="A62" s="31" t="n">
        <v>46381</v>
      </c>
      <c r="B62" s="32" t="n">
        <v>8</v>
      </c>
      <c r="C62" s="32" t="s">
        <v>103</v>
      </c>
      <c r="D62" s="32"/>
      <c r="E62" s="83"/>
      <c r="F62" s="9" t="str">
        <f aca="false">IF(COUNT(E56:E62)=0,"",AVERAGE(E56:E62))</f>
        <v/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84" t="s">
        <v>270</v>
      </c>
      <c r="R62" s="24"/>
      <c r="S62" s="24"/>
    </row>
    <row r="63" customFormat="false" ht="15" hidden="false" customHeight="false" outlineLevel="0" collapsed="false">
      <c r="A63" s="31" t="n">
        <v>46382</v>
      </c>
      <c r="B63" s="32" t="n">
        <v>8</v>
      </c>
      <c r="C63" s="32" t="s">
        <v>108</v>
      </c>
      <c r="D63" s="32"/>
      <c r="E63" s="83"/>
      <c r="F63" s="9" t="str">
        <f aca="false">IF(COUNT(E57:E63)=0,"",AVERAGE(E57:E63))</f>
        <v/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84" t="s">
        <v>270</v>
      </c>
      <c r="R63" s="24"/>
      <c r="S63" s="24"/>
    </row>
    <row r="64" customFormat="false" ht="15" hidden="false" customHeight="false" outlineLevel="0" collapsed="false">
      <c r="A64" s="31" t="n">
        <v>46383</v>
      </c>
      <c r="B64" s="32" t="n">
        <v>8</v>
      </c>
      <c r="C64" s="32" t="s">
        <v>111</v>
      </c>
      <c r="D64" s="32"/>
      <c r="E64" s="83"/>
      <c r="F64" s="9" t="str">
        <f aca="false">IF(COUNT(E58:E64)=0,"",AVERAGE(E58:E64))</f>
        <v/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84" t="s">
        <v>270</v>
      </c>
      <c r="R64" s="24"/>
      <c r="S64" s="24"/>
    </row>
    <row r="65" customFormat="false" ht="15" hidden="false" customHeight="false" outlineLevel="0" collapsed="false">
      <c r="A65" s="41" t="n">
        <v>46384</v>
      </c>
      <c r="B65" s="42" t="n">
        <v>9</v>
      </c>
      <c r="C65" s="42" t="s">
        <v>120</v>
      </c>
      <c r="D65" s="42" t="s">
        <v>269</v>
      </c>
      <c r="E65" s="83"/>
      <c r="F65" s="9" t="str">
        <f aca="false">IF(COUNT(E59:E65)=0,"",AVERAGE(E59:E65))</f>
        <v/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customFormat="false" ht="15" hidden="false" customHeight="false" outlineLevel="0" collapsed="false">
      <c r="A66" s="41" t="n">
        <v>46385</v>
      </c>
      <c r="B66" s="42" t="n">
        <v>9</v>
      </c>
      <c r="C66" s="42" t="s">
        <v>121</v>
      </c>
      <c r="D66" s="42"/>
      <c r="E66" s="83"/>
      <c r="F66" s="9" t="str">
        <f aca="false">IF(COUNT(E60:E66)=0,"",AVERAGE(E60:E66))</f>
        <v/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84" t="s">
        <v>270</v>
      </c>
      <c r="R66" s="24"/>
      <c r="S66" s="24"/>
    </row>
    <row r="67" customFormat="false" ht="23.85" hidden="false" customHeight="false" outlineLevel="0" collapsed="false">
      <c r="A67" s="41" t="n">
        <v>46386</v>
      </c>
      <c r="B67" s="42" t="n">
        <v>9</v>
      </c>
      <c r="C67" s="42" t="s">
        <v>125</v>
      </c>
      <c r="D67" s="42"/>
      <c r="E67" s="83"/>
      <c r="F67" s="9" t="str">
        <f aca="false">IF(COUNT(E61:E67)=0,"",AVERAGE(E61:E67))</f>
        <v/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84" t="s">
        <v>270</v>
      </c>
      <c r="R67" s="24"/>
      <c r="S67" s="24"/>
    </row>
    <row r="68" customFormat="false" ht="15" hidden="false" customHeight="false" outlineLevel="0" collapsed="false">
      <c r="A68" s="41" t="n">
        <v>46387</v>
      </c>
      <c r="B68" s="42" t="n">
        <v>9</v>
      </c>
      <c r="C68" s="42" t="s">
        <v>96</v>
      </c>
      <c r="D68" s="42" t="s">
        <v>269</v>
      </c>
      <c r="E68" s="83"/>
      <c r="F68" s="9" t="str">
        <f aca="false">IF(COUNT(E62:E68)=0,"",AVERAGE(E62:E68))</f>
        <v/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customFormat="false" ht="15" hidden="false" customHeight="false" outlineLevel="0" collapsed="false">
      <c r="A69" s="41" t="n">
        <v>46388</v>
      </c>
      <c r="B69" s="42" t="n">
        <v>9</v>
      </c>
      <c r="C69" s="42" t="s">
        <v>103</v>
      </c>
      <c r="D69" s="42"/>
      <c r="E69" s="83"/>
      <c r="F69" s="9" t="str">
        <f aca="false">IF(COUNT(E63:E69)=0,"",AVERAGE(E63:E69))</f>
        <v/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84" t="s">
        <v>270</v>
      </c>
      <c r="R69" s="24"/>
      <c r="S69" s="24"/>
    </row>
    <row r="70" customFormat="false" ht="15" hidden="false" customHeight="false" outlineLevel="0" collapsed="false">
      <c r="A70" s="41" t="n">
        <v>46389</v>
      </c>
      <c r="B70" s="42" t="n">
        <v>9</v>
      </c>
      <c r="C70" s="42" t="s">
        <v>108</v>
      </c>
      <c r="D70" s="42"/>
      <c r="E70" s="83"/>
      <c r="F70" s="9" t="str">
        <f aca="false">IF(COUNT(E64:E70)=0,"",AVERAGE(E64:E70))</f>
        <v/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84" t="s">
        <v>270</v>
      </c>
      <c r="R70" s="24"/>
      <c r="S70" s="24"/>
    </row>
    <row r="71" customFormat="false" ht="15" hidden="false" customHeight="false" outlineLevel="0" collapsed="false">
      <c r="A71" s="41" t="n">
        <v>46390</v>
      </c>
      <c r="B71" s="42" t="n">
        <v>9</v>
      </c>
      <c r="C71" s="42" t="s">
        <v>111</v>
      </c>
      <c r="D71" s="42"/>
      <c r="E71" s="83"/>
      <c r="F71" s="9" t="str">
        <f aca="false">IF(COUNT(E65:E71)=0,"",AVERAGE(E65:E71))</f>
        <v/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84" t="s">
        <v>270</v>
      </c>
      <c r="R71" s="24"/>
      <c r="S71" s="24"/>
    </row>
    <row r="72" customFormat="false" ht="15" hidden="false" customHeight="false" outlineLevel="0" collapsed="false">
      <c r="A72" s="41" t="n">
        <v>46391</v>
      </c>
      <c r="B72" s="42" t="n">
        <v>10</v>
      </c>
      <c r="C72" s="42" t="s">
        <v>120</v>
      </c>
      <c r="D72" s="42" t="s">
        <v>269</v>
      </c>
      <c r="E72" s="83"/>
      <c r="F72" s="9" t="str">
        <f aca="false">IF(COUNT(E66:E72)=0,"",AVERAGE(E66:E72))</f>
        <v/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customFormat="false" ht="15" hidden="false" customHeight="false" outlineLevel="0" collapsed="false">
      <c r="A73" s="41" t="n">
        <v>46392</v>
      </c>
      <c r="B73" s="42" t="n">
        <v>10</v>
      </c>
      <c r="C73" s="42" t="s">
        <v>121</v>
      </c>
      <c r="D73" s="42"/>
      <c r="E73" s="83"/>
      <c r="F73" s="9" t="str">
        <f aca="false">IF(COUNT(E67:E73)=0,"",AVERAGE(E67:E73))</f>
        <v/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84" t="s">
        <v>270</v>
      </c>
      <c r="R73" s="24"/>
      <c r="S73" s="24"/>
    </row>
    <row r="74" customFormat="false" ht="23.85" hidden="false" customHeight="false" outlineLevel="0" collapsed="false">
      <c r="A74" s="41" t="n">
        <v>46393</v>
      </c>
      <c r="B74" s="42" t="n">
        <v>10</v>
      </c>
      <c r="C74" s="42" t="s">
        <v>125</v>
      </c>
      <c r="D74" s="42"/>
      <c r="E74" s="83"/>
      <c r="F74" s="9" t="str">
        <f aca="false">IF(COUNT(E68:E74)=0,"",AVERAGE(E68:E74))</f>
        <v/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84" t="s">
        <v>270</v>
      </c>
      <c r="R74" s="24"/>
      <c r="S74" s="24"/>
    </row>
    <row r="75" customFormat="false" ht="15" hidden="false" customHeight="false" outlineLevel="0" collapsed="false">
      <c r="A75" s="41" t="n">
        <v>46394</v>
      </c>
      <c r="B75" s="42" t="n">
        <v>10</v>
      </c>
      <c r="C75" s="42" t="s">
        <v>96</v>
      </c>
      <c r="D75" s="42" t="s">
        <v>269</v>
      </c>
      <c r="E75" s="83"/>
      <c r="F75" s="9" t="str">
        <f aca="false">IF(COUNT(E69:E75)=0,"",AVERAGE(E69:E75))</f>
        <v/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customFormat="false" ht="15" hidden="false" customHeight="false" outlineLevel="0" collapsed="false">
      <c r="A76" s="41" t="n">
        <v>46395</v>
      </c>
      <c r="B76" s="42" t="n">
        <v>10</v>
      </c>
      <c r="C76" s="42" t="s">
        <v>103</v>
      </c>
      <c r="D76" s="42"/>
      <c r="E76" s="83"/>
      <c r="F76" s="9" t="str">
        <f aca="false">IF(COUNT(E70:E76)=0,"",AVERAGE(E70:E76))</f>
        <v/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84" t="s">
        <v>270</v>
      </c>
      <c r="R76" s="24"/>
      <c r="S76" s="24"/>
    </row>
    <row r="77" customFormat="false" ht="15" hidden="false" customHeight="false" outlineLevel="0" collapsed="false">
      <c r="A77" s="41" t="n">
        <v>46396</v>
      </c>
      <c r="B77" s="42" t="n">
        <v>10</v>
      </c>
      <c r="C77" s="42" t="s">
        <v>108</v>
      </c>
      <c r="D77" s="42"/>
      <c r="E77" s="83"/>
      <c r="F77" s="9" t="str">
        <f aca="false">IF(COUNT(E71:E77)=0,"",AVERAGE(E71:E77))</f>
        <v/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84" t="s">
        <v>270</v>
      </c>
      <c r="R77" s="24"/>
      <c r="S77" s="24"/>
    </row>
    <row r="78" customFormat="false" ht="15" hidden="false" customHeight="false" outlineLevel="0" collapsed="false">
      <c r="A78" s="41" t="n">
        <v>46397</v>
      </c>
      <c r="B78" s="42" t="n">
        <v>10</v>
      </c>
      <c r="C78" s="42" t="s">
        <v>111</v>
      </c>
      <c r="D78" s="42"/>
      <c r="E78" s="83"/>
      <c r="F78" s="9" t="str">
        <f aca="false">IF(COUNT(E72:E78)=0,"",AVERAGE(E72:E78))</f>
        <v/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84" t="s">
        <v>270</v>
      </c>
      <c r="R78" s="24"/>
      <c r="S78" s="24"/>
    </row>
    <row r="79" customFormat="false" ht="15" hidden="false" customHeight="false" outlineLevel="0" collapsed="false">
      <c r="A79" s="41" t="n">
        <v>46398</v>
      </c>
      <c r="B79" s="42" t="n">
        <v>11</v>
      </c>
      <c r="C79" s="42" t="s">
        <v>120</v>
      </c>
      <c r="D79" s="42" t="s">
        <v>269</v>
      </c>
      <c r="E79" s="83"/>
      <c r="F79" s="9" t="str">
        <f aca="false">IF(COUNT(E73:E79)=0,"",AVERAGE(E73:E79))</f>
        <v/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customFormat="false" ht="15" hidden="false" customHeight="false" outlineLevel="0" collapsed="false">
      <c r="A80" s="41" t="n">
        <v>46399</v>
      </c>
      <c r="B80" s="42" t="n">
        <v>11</v>
      </c>
      <c r="C80" s="42" t="s">
        <v>121</v>
      </c>
      <c r="D80" s="42"/>
      <c r="E80" s="83"/>
      <c r="F80" s="9" t="str">
        <f aca="false">IF(COUNT(E74:E80)=0,"",AVERAGE(E74:E80))</f>
        <v/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84" t="s">
        <v>270</v>
      </c>
      <c r="R80" s="24"/>
      <c r="S80" s="24"/>
    </row>
    <row r="81" customFormat="false" ht="23.85" hidden="false" customHeight="false" outlineLevel="0" collapsed="false">
      <c r="A81" s="41" t="n">
        <v>46400</v>
      </c>
      <c r="B81" s="42" t="n">
        <v>11</v>
      </c>
      <c r="C81" s="42" t="s">
        <v>125</v>
      </c>
      <c r="D81" s="42"/>
      <c r="E81" s="83"/>
      <c r="F81" s="9" t="str">
        <f aca="false">IF(COUNT(E75:E81)=0,"",AVERAGE(E75:E81))</f>
        <v/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84" t="s">
        <v>270</v>
      </c>
      <c r="R81" s="24"/>
      <c r="S81" s="24"/>
    </row>
    <row r="82" customFormat="false" ht="15" hidden="false" customHeight="false" outlineLevel="0" collapsed="false">
      <c r="A82" s="41" t="n">
        <v>46401</v>
      </c>
      <c r="B82" s="42" t="n">
        <v>11</v>
      </c>
      <c r="C82" s="42" t="s">
        <v>96</v>
      </c>
      <c r="D82" s="42" t="s">
        <v>269</v>
      </c>
      <c r="E82" s="83"/>
      <c r="F82" s="9" t="str">
        <f aca="false">IF(COUNT(E76:E82)=0,"",AVERAGE(E76:E82))</f>
        <v/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customFormat="false" ht="15" hidden="false" customHeight="false" outlineLevel="0" collapsed="false">
      <c r="A83" s="41" t="n">
        <v>46402</v>
      </c>
      <c r="B83" s="42" t="n">
        <v>11</v>
      </c>
      <c r="C83" s="42" t="s">
        <v>103</v>
      </c>
      <c r="D83" s="42"/>
      <c r="E83" s="83"/>
      <c r="F83" s="9" t="str">
        <f aca="false">IF(COUNT(E77:E83)=0,"",AVERAGE(E77:E83))</f>
        <v/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84" t="s">
        <v>270</v>
      </c>
      <c r="R83" s="24"/>
      <c r="S83" s="24"/>
    </row>
    <row r="84" customFormat="false" ht="15" hidden="false" customHeight="false" outlineLevel="0" collapsed="false">
      <c r="A84" s="41" t="n">
        <v>46403</v>
      </c>
      <c r="B84" s="42" t="n">
        <v>11</v>
      </c>
      <c r="C84" s="42" t="s">
        <v>108</v>
      </c>
      <c r="D84" s="42"/>
      <c r="E84" s="83"/>
      <c r="F84" s="9" t="str">
        <f aca="false">IF(COUNT(E78:E84)=0,"",AVERAGE(E78:E84))</f>
        <v/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84" t="s">
        <v>270</v>
      </c>
      <c r="R84" s="24"/>
      <c r="S84" s="24"/>
    </row>
    <row r="85" customFormat="false" ht="15" hidden="false" customHeight="false" outlineLevel="0" collapsed="false">
      <c r="A85" s="41" t="n">
        <v>46404</v>
      </c>
      <c r="B85" s="42" t="n">
        <v>11</v>
      </c>
      <c r="C85" s="42" t="s">
        <v>111</v>
      </c>
      <c r="D85" s="42"/>
      <c r="E85" s="83"/>
      <c r="F85" s="9" t="str">
        <f aca="false">IF(COUNT(E79:E85)=0,"",AVERAGE(E79:E85))</f>
        <v/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84" t="s">
        <v>270</v>
      </c>
      <c r="R85" s="24"/>
      <c r="S85" s="24"/>
    </row>
    <row r="86" customFormat="false" ht="15" hidden="false" customHeight="false" outlineLevel="0" collapsed="false">
      <c r="A86" s="51" t="n">
        <v>46405</v>
      </c>
      <c r="B86" s="52" t="n">
        <v>12</v>
      </c>
      <c r="C86" s="52" t="s">
        <v>120</v>
      </c>
      <c r="D86" s="52" t="s">
        <v>269</v>
      </c>
      <c r="E86" s="83"/>
      <c r="F86" s="9" t="str">
        <f aca="false">IF(COUNT(E80:E86)=0,"",AVERAGE(E80:E86))</f>
        <v/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</row>
    <row r="87" customFormat="false" ht="15" hidden="false" customHeight="false" outlineLevel="0" collapsed="false">
      <c r="A87" s="51" t="n">
        <v>46406</v>
      </c>
      <c r="B87" s="52" t="n">
        <v>12</v>
      </c>
      <c r="C87" s="52" t="s">
        <v>121</v>
      </c>
      <c r="D87" s="52"/>
      <c r="E87" s="83"/>
      <c r="F87" s="9" t="str">
        <f aca="false">IF(COUNT(E81:E87)=0,"",AVERAGE(E81:E87))</f>
        <v/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84" t="s">
        <v>270</v>
      </c>
      <c r="R87" s="24"/>
      <c r="S87" s="24"/>
    </row>
    <row r="88" customFormat="false" ht="23.85" hidden="false" customHeight="false" outlineLevel="0" collapsed="false">
      <c r="A88" s="51" t="n">
        <v>46407</v>
      </c>
      <c r="B88" s="52" t="n">
        <v>12</v>
      </c>
      <c r="C88" s="52" t="s">
        <v>125</v>
      </c>
      <c r="D88" s="52"/>
      <c r="E88" s="83"/>
      <c r="F88" s="9" t="str">
        <f aca="false">IF(COUNT(E82:E88)=0,"",AVERAGE(E82:E88))</f>
        <v/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84" t="s">
        <v>270</v>
      </c>
      <c r="R88" s="24"/>
      <c r="S88" s="24"/>
    </row>
    <row r="89" customFormat="false" ht="15" hidden="false" customHeight="false" outlineLevel="0" collapsed="false">
      <c r="A89" s="51" t="n">
        <v>46408</v>
      </c>
      <c r="B89" s="52" t="n">
        <v>12</v>
      </c>
      <c r="C89" s="52" t="s">
        <v>96</v>
      </c>
      <c r="D89" s="52" t="s">
        <v>269</v>
      </c>
      <c r="E89" s="83"/>
      <c r="F89" s="9" t="str">
        <f aca="false">IF(COUNT(E83:E89)=0,"",AVERAGE(E83:E89))</f>
        <v/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customFormat="false" ht="15" hidden="false" customHeight="false" outlineLevel="0" collapsed="false">
      <c r="A90" s="51" t="n">
        <v>46409</v>
      </c>
      <c r="B90" s="52" t="n">
        <v>12</v>
      </c>
      <c r="C90" s="52" t="s">
        <v>103</v>
      </c>
      <c r="D90" s="52"/>
      <c r="E90" s="83"/>
      <c r="F90" s="9" t="str">
        <f aca="false">IF(COUNT(E84:E90)=0,"",AVERAGE(E84:E90))</f>
        <v/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84" t="s">
        <v>270</v>
      </c>
      <c r="R90" s="24"/>
      <c r="S90" s="24"/>
    </row>
    <row r="91" customFormat="false" ht="15" hidden="false" customHeight="false" outlineLevel="0" collapsed="false">
      <c r="A91" s="51" t="n">
        <v>46410</v>
      </c>
      <c r="B91" s="52" t="n">
        <v>12</v>
      </c>
      <c r="C91" s="52" t="s">
        <v>108</v>
      </c>
      <c r="D91" s="52"/>
      <c r="E91" s="83"/>
      <c r="F91" s="9" t="str">
        <f aca="false">IF(COUNT(E85:E91)=0,"",AVERAGE(E85:E91))</f>
        <v/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84" t="s">
        <v>270</v>
      </c>
      <c r="R91" s="24"/>
      <c r="S91" s="24"/>
    </row>
    <row r="92" customFormat="false" ht="15" hidden="false" customHeight="false" outlineLevel="0" collapsed="false">
      <c r="A92" s="51" t="n">
        <v>46411</v>
      </c>
      <c r="B92" s="52" t="n">
        <v>12</v>
      </c>
      <c r="C92" s="52" t="s">
        <v>111</v>
      </c>
      <c r="D92" s="52"/>
      <c r="E92" s="83"/>
      <c r="F92" s="9" t="str">
        <f aca="false">IF(COUNT(E86:E92)=0,"",AVERAGE(E86:E92))</f>
        <v/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84" t="s">
        <v>270</v>
      </c>
      <c r="R92" s="24"/>
      <c r="S92" s="24"/>
    </row>
    <row r="93" customFormat="false" ht="15" hidden="false" customHeight="false" outlineLevel="0" collapsed="false">
      <c r="A93" s="61" t="n">
        <v>46412</v>
      </c>
      <c r="B93" s="62" t="n">
        <v>13</v>
      </c>
      <c r="C93" s="62" t="s">
        <v>120</v>
      </c>
      <c r="D93" s="62" t="s">
        <v>269</v>
      </c>
      <c r="E93" s="83"/>
      <c r="F93" s="9" t="str">
        <f aca="false">IF(COUNT(E87:E93)=0,"",AVERAGE(E87:E93))</f>
        <v/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customFormat="false" ht="15" hidden="false" customHeight="false" outlineLevel="0" collapsed="false">
      <c r="A94" s="61" t="n">
        <v>46413</v>
      </c>
      <c r="B94" s="62" t="n">
        <v>13</v>
      </c>
      <c r="C94" s="62" t="s">
        <v>121</v>
      </c>
      <c r="D94" s="62"/>
      <c r="E94" s="83"/>
      <c r="F94" s="9" t="str">
        <f aca="false">IF(COUNT(E88:E94)=0,"",AVERAGE(E88:E94))</f>
        <v/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84" t="s">
        <v>270</v>
      </c>
      <c r="R94" s="24"/>
      <c r="S94" s="24"/>
    </row>
    <row r="95" customFormat="false" ht="23.85" hidden="false" customHeight="false" outlineLevel="0" collapsed="false">
      <c r="A95" s="61" t="n">
        <v>46414</v>
      </c>
      <c r="B95" s="62" t="n">
        <v>13</v>
      </c>
      <c r="C95" s="62" t="s">
        <v>125</v>
      </c>
      <c r="D95" s="62"/>
      <c r="E95" s="83"/>
      <c r="F95" s="9" t="str">
        <f aca="false">IF(COUNT(E89:E95)=0,"",AVERAGE(E89:E95))</f>
        <v/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84" t="s">
        <v>270</v>
      </c>
      <c r="R95" s="24"/>
      <c r="S95" s="24"/>
    </row>
    <row r="96" customFormat="false" ht="15" hidden="false" customHeight="false" outlineLevel="0" collapsed="false">
      <c r="A96" s="61" t="n">
        <v>46415</v>
      </c>
      <c r="B96" s="62" t="n">
        <v>13</v>
      </c>
      <c r="C96" s="62" t="s">
        <v>96</v>
      </c>
      <c r="D96" s="62" t="s">
        <v>269</v>
      </c>
      <c r="E96" s="83"/>
      <c r="F96" s="9" t="str">
        <f aca="false">IF(COUNT(E90:E96)=0,"",AVERAGE(E90:E96))</f>
        <v/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customFormat="false" ht="15" hidden="false" customHeight="false" outlineLevel="0" collapsed="false">
      <c r="A97" s="61" t="n">
        <v>46416</v>
      </c>
      <c r="B97" s="62" t="n">
        <v>13</v>
      </c>
      <c r="C97" s="62" t="s">
        <v>103</v>
      </c>
      <c r="D97" s="62"/>
      <c r="E97" s="83"/>
      <c r="F97" s="9" t="str">
        <f aca="false">IF(COUNT(E91:E97)=0,"",AVERAGE(E91:E97))</f>
        <v/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84" t="s">
        <v>270</v>
      </c>
      <c r="R97" s="24"/>
      <c r="S97" s="24"/>
    </row>
    <row r="98" customFormat="false" ht="15" hidden="false" customHeight="false" outlineLevel="0" collapsed="false">
      <c r="A98" s="61" t="n">
        <v>46417</v>
      </c>
      <c r="B98" s="62" t="n">
        <v>13</v>
      </c>
      <c r="C98" s="62" t="s">
        <v>108</v>
      </c>
      <c r="D98" s="62"/>
      <c r="E98" s="83"/>
      <c r="F98" s="9" t="str">
        <f aca="false">IF(COUNT(E92:E98)=0,"",AVERAGE(E92:E98))</f>
        <v/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84" t="s">
        <v>270</v>
      </c>
      <c r="R98" s="24"/>
      <c r="S98" s="24"/>
    </row>
    <row r="99" customFormat="false" ht="15" hidden="false" customHeight="false" outlineLevel="0" collapsed="false">
      <c r="A99" s="61" t="n">
        <v>46418</v>
      </c>
      <c r="B99" s="62" t="n">
        <v>13</v>
      </c>
      <c r="C99" s="62" t="s">
        <v>111</v>
      </c>
      <c r="D99" s="62"/>
      <c r="E99" s="83"/>
      <c r="F99" s="9" t="str">
        <f aca="false">IF(COUNT(E93:E99)=0,"",AVERAGE(E93:E99))</f>
        <v/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84" t="s">
        <v>270</v>
      </c>
      <c r="R99" s="24"/>
      <c r="S99" s="24"/>
    </row>
    <row r="100" customFormat="false" ht="15" hidden="false" customHeight="false" outlineLevel="0" collapsed="false">
      <c r="A100" s="71" t="n">
        <v>46419</v>
      </c>
      <c r="B100" s="72" t="n">
        <v>14</v>
      </c>
      <c r="C100" s="72" t="s">
        <v>120</v>
      </c>
      <c r="D100" s="72" t="s">
        <v>269</v>
      </c>
      <c r="E100" s="83"/>
      <c r="F100" s="9" t="str">
        <f aca="false">IF(COUNT(E94:E100)=0,"",AVERAGE(E94:E100))</f>
        <v/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customFormat="false" ht="15" hidden="false" customHeight="false" outlineLevel="0" collapsed="false">
      <c r="A101" s="71" t="n">
        <v>46420</v>
      </c>
      <c r="B101" s="72" t="n">
        <v>14</v>
      </c>
      <c r="C101" s="72" t="s">
        <v>121</v>
      </c>
      <c r="D101" s="72"/>
      <c r="E101" s="83"/>
      <c r="F101" s="9" t="str">
        <f aca="false">IF(COUNT(E95:E101)=0,"",AVERAGE(E95:E101))</f>
        <v/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84" t="s">
        <v>270</v>
      </c>
      <c r="R101" s="24"/>
      <c r="S101" s="24"/>
    </row>
    <row r="102" customFormat="false" ht="23.85" hidden="false" customHeight="false" outlineLevel="0" collapsed="false">
      <c r="A102" s="71" t="n">
        <v>46421</v>
      </c>
      <c r="B102" s="72" t="n">
        <v>14</v>
      </c>
      <c r="C102" s="72" t="s">
        <v>125</v>
      </c>
      <c r="D102" s="72"/>
      <c r="E102" s="83"/>
      <c r="F102" s="9" t="str">
        <f aca="false">IF(COUNT(E96:E102)=0,"",AVERAGE(E96:E102))</f>
        <v/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84" t="s">
        <v>270</v>
      </c>
      <c r="R102" s="24"/>
      <c r="S102" s="24"/>
    </row>
    <row r="103" customFormat="false" ht="15" hidden="false" customHeight="false" outlineLevel="0" collapsed="false">
      <c r="A103" s="71" t="n">
        <v>46422</v>
      </c>
      <c r="B103" s="72" t="n">
        <v>14</v>
      </c>
      <c r="C103" s="72" t="s">
        <v>96</v>
      </c>
      <c r="D103" s="72" t="s">
        <v>269</v>
      </c>
      <c r="E103" s="83"/>
      <c r="F103" s="9" t="str">
        <f aca="false">IF(COUNT(E97:E103)=0,"",AVERAGE(E97:E103))</f>
        <v/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</row>
    <row r="104" customFormat="false" ht="15" hidden="false" customHeight="false" outlineLevel="0" collapsed="false">
      <c r="A104" s="71" t="n">
        <v>46423</v>
      </c>
      <c r="B104" s="72" t="n">
        <v>14</v>
      </c>
      <c r="C104" s="72" t="s">
        <v>103</v>
      </c>
      <c r="D104" s="72"/>
      <c r="E104" s="83"/>
      <c r="F104" s="9" t="str">
        <f aca="false">IF(COUNT(E98:E104)=0,"",AVERAGE(E98:E104))</f>
        <v/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84" t="s">
        <v>270</v>
      </c>
      <c r="R104" s="24"/>
      <c r="S104" s="24"/>
    </row>
    <row r="105" customFormat="false" ht="15" hidden="false" customHeight="false" outlineLevel="0" collapsed="false">
      <c r="A105" s="71" t="n">
        <v>46424</v>
      </c>
      <c r="B105" s="72" t="n">
        <v>14</v>
      </c>
      <c r="C105" s="72" t="s">
        <v>108</v>
      </c>
      <c r="D105" s="72"/>
      <c r="E105" s="83"/>
      <c r="F105" s="9" t="str">
        <f aca="false">IF(COUNT(E99:E105)=0,"",AVERAGE(E99:E105))</f>
        <v/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84" t="s">
        <v>270</v>
      </c>
      <c r="R105" s="24"/>
      <c r="S105" s="24"/>
    </row>
    <row r="106" customFormat="false" ht="15" hidden="false" customHeight="false" outlineLevel="0" collapsed="false">
      <c r="A106" s="71" t="n">
        <v>46425</v>
      </c>
      <c r="B106" s="72" t="n">
        <v>14</v>
      </c>
      <c r="C106" s="72" t="s">
        <v>111</v>
      </c>
      <c r="D106" s="72"/>
      <c r="E106" s="83"/>
      <c r="F106" s="9" t="str">
        <f aca="false">IF(COUNT(E100:E106)=0,"",AVERAGE(E100:E106))</f>
        <v/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84" t="s">
        <v>270</v>
      </c>
      <c r="R106" s="24"/>
      <c r="S106" s="24"/>
    </row>
  </sheetData>
  <conditionalFormatting sqref="K5:K106">
    <cfRule type="expression" priority="2" aboveAverage="0" equalAverage="0" bottom="0" percent="0" rank="0" text="" dxfId="2">
      <formula>AND(ISNUMBER(K5),K5&gt;=4)</formula>
    </cfRule>
  </conditionalFormatting>
  <conditionalFormatting sqref="R5:R106">
    <cfRule type="expression" priority="3" aboveAverage="0" equalAverage="0" bottom="0" percent="0" rank="0" text="" dxfId="2">
      <formula>R5="Yes"</formula>
    </cfRule>
  </conditionalFormatting>
  <dataValidations count="3">
    <dataValidation allowBlank="true" errorStyle="stop" operator="between" showDropDown="false" showErrorMessage="false" showInputMessage="false" sqref="I5:I106 M5:Q106" type="whole">
      <formula1>1</formula1>
      <formula2>5</formula2>
    </dataValidation>
    <dataValidation allowBlank="true" errorStyle="stop" operator="between" showDropDown="false" showErrorMessage="false" showInputMessage="false" sqref="J5:K106" type="whole">
      <formula1>0</formula1>
      <formula2>10</formula2>
    </dataValidation>
    <dataValidation allowBlank="true" errorStyle="stop" operator="between" showDropDown="false" showErrorMessage="false" showInputMessage="false" sqref="R5:R10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6" min="15" style="0" width="8"/>
    <col collapsed="false" customWidth="true" hidden="false" outlineLevel="0" max="17" min="17" style="0" width="9"/>
    <col collapsed="false" customWidth="true" hidden="false" outlineLevel="0" max="19" min="18" style="0" width="8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30"/>
    <col collapsed="false" customWidth="true" hidden="false" outlineLevel="0" max="23" min="23" style="0" width="26"/>
  </cols>
  <sheetData>
    <row r="1" customFormat="false" ht="18.5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4" customFormat="false" ht="46.25" hidden="false" customHeight="false" outlineLevel="0" collapsed="false">
      <c r="A4" s="18" t="s">
        <v>83</v>
      </c>
      <c r="B4" s="18" t="s">
        <v>273</v>
      </c>
      <c r="C4" s="18" t="s">
        <v>41</v>
      </c>
      <c r="D4" s="18" t="s">
        <v>274</v>
      </c>
      <c r="E4" s="18" t="s">
        <v>31</v>
      </c>
      <c r="F4" s="18" t="s">
        <v>33</v>
      </c>
      <c r="G4" s="18" t="s">
        <v>275</v>
      </c>
      <c r="H4" s="18" t="s">
        <v>276</v>
      </c>
      <c r="I4" s="18" t="s">
        <v>277</v>
      </c>
      <c r="J4" s="18" t="s">
        <v>278</v>
      </c>
      <c r="K4" s="18" t="s">
        <v>279</v>
      </c>
      <c r="L4" s="18" t="s">
        <v>280</v>
      </c>
      <c r="M4" s="18" t="s">
        <v>281</v>
      </c>
      <c r="N4" s="18" t="s">
        <v>282</v>
      </c>
      <c r="O4" s="18" t="s">
        <v>283</v>
      </c>
      <c r="P4" s="18" t="s">
        <v>284</v>
      </c>
      <c r="Q4" s="18" t="s">
        <v>285</v>
      </c>
      <c r="R4" s="18" t="s">
        <v>286</v>
      </c>
      <c r="S4" s="18" t="s">
        <v>287</v>
      </c>
      <c r="T4" s="18" t="s">
        <v>288</v>
      </c>
      <c r="U4" s="18" t="s">
        <v>289</v>
      </c>
      <c r="V4" s="18" t="s">
        <v>290</v>
      </c>
      <c r="W4" s="18" t="s">
        <v>95</v>
      </c>
    </row>
    <row r="5" customFormat="false" ht="15" hidden="false" customHeight="false" outlineLevel="0" collapsed="false">
      <c r="A5" s="85" t="n">
        <v>0</v>
      </c>
      <c r="B5" s="86" t="n">
        <v>46324</v>
      </c>
      <c r="C5" s="85" t="s">
        <v>97</v>
      </c>
      <c r="D5" s="85" t="n">
        <f aca="false">COUNTIFS('Daily Plan'!$B$5:$B$147,A5,'Daily Plan'!$F$5:$F$147,"&lt;&gt;Rest")</f>
        <v>5</v>
      </c>
      <c r="E5" s="85" t="n">
        <f aca="false">COUNTIFS('Daily Plan'!$B$5:$B$147,A5,'Daily Plan'!$K$5:$K$147,"Yes")+COUNTIFS('Daily Plan'!$B$5:$B$147,A5,'Daily Plan'!$K$5:$K$147,"Partial")</f>
        <v>0</v>
      </c>
      <c r="F5" s="87" t="n">
        <f aca="false">IFERROR(E5/D5,"")</f>
        <v>0</v>
      </c>
      <c r="G5" s="85" t="n">
        <f aca="false">SUMIFS('Daily Plan'!$I$5:$I$147,'Daily Plan'!$B$5:$B$147,A5,'Daily Plan'!$F$5:$F$147,"Run",'Daily Plan'!$J$5:$J$147,"min")</f>
        <v>70</v>
      </c>
      <c r="H5" s="85" t="n">
        <f aca="false">SUMIFS('Daily Plan'!$L$5:$L$147,'Daily Plan'!$B$5:$B$147,A5,'Daily Plan'!$F$5:$F$147,"Run")</f>
        <v>0</v>
      </c>
      <c r="I5" s="85" t="n">
        <v>40</v>
      </c>
      <c r="J5" s="85" t="n">
        <f aca="false">IFERROR(INDEX('Daily Plan'!$L$5:$L$147,MATCH(1,INDEX(('Daily Plan'!$B$5:$B$147=A5)*('Daily Plan'!$C$5:$C$147="Saturday")*('Daily Plan'!$F$5:$F$147="Run"),0),0)),"")</f>
        <v>0</v>
      </c>
      <c r="K5" s="88" t="str">
        <f aca="false">IFERROR(AVERAGEIFS('Daily Plan'!$N$5:$N$147,'Daily Plan'!$B$5:$B$147,A5,'Daily Plan'!$F$5:$F$147,"Run"),"")</f>
        <v/>
      </c>
      <c r="L5" s="88" t="str">
        <f aca="false">IFERROR(AVERAGEIFS('Daily Log'!$H$5:$H$106,'Daily Log'!$B$5:$B$106,A5),"")</f>
        <v/>
      </c>
      <c r="M5" s="88" t="str">
        <f aca="false">IFERROR(AVERAGEIFS('Daily Log'!$I$5:$I$106,'Daily Log'!$B$5:$B$106,A5),"")</f>
        <v/>
      </c>
      <c r="N5" s="85" t="str">
        <f aca="false">IF(COUNTIFS('Daily Log'!$B$5:$B$106,A5,'Daily Log'!$K$5:$K$106,"&gt;=0")=0,"",_xlfn.MAXIFS('Daily Log'!$K$5:$K$106,'Daily Log'!$B$5:$B$106,A5))</f>
        <v/>
      </c>
      <c r="O5" s="88" t="str">
        <f aca="false">IFERROR(AVERAGEIFS('Daily Log'!$M$5:$M$106,'Daily Log'!$B$5:$B$106,A5),"")</f>
        <v/>
      </c>
      <c r="P5" s="88" t="str">
        <f aca="false">IFERROR(AVERAGEIFS('Daily Log'!$N$5:$N$106,'Daily Log'!$B$5:$B$106,A5),"")</f>
        <v/>
      </c>
      <c r="Q5" s="88" t="str">
        <f aca="false">IFERROR(AVERAGEIFS('Daily Log'!$E$5:$E$106,'Daily Log'!$B$5:$B$106,A5),"")</f>
        <v/>
      </c>
      <c r="R5" s="89"/>
      <c r="S5" s="90"/>
      <c r="T5" s="90"/>
      <c r="U5" s="91"/>
      <c r="V5" s="85" t="str">
        <f aca="false">IF(E5=0,"",IF(OR(AND(N5&lt;&gt;"",N5&gt;=4),AND(F5&lt;&gt;"",F5&lt;0.6),AND(L5&lt;&gt;"",L5&lt;6)),"Red: step back",IF(OR(AND(F5&lt;&gt;"",F5&lt;0.85),AND(K5&lt;&gt;"",K5&gt;=5),AND(N5&lt;&gt;"",N5&gt;=3),AND(L5&lt;&gt;"",L5&lt;6.5),AND(O5&lt;&gt;"",O5&lt;3),AND(P5&lt;&gt;"",P5&lt;3)),"Amber: repeat the week","Green: progress")))</f>
        <v/>
      </c>
      <c r="W5" s="24"/>
    </row>
    <row r="6" customFormat="false" ht="15" hidden="false" customHeight="false" outlineLevel="0" collapsed="false">
      <c r="A6" s="85" t="n">
        <v>1</v>
      </c>
      <c r="B6" s="86" t="n">
        <v>46328</v>
      </c>
      <c r="C6" s="85" t="s">
        <v>97</v>
      </c>
      <c r="D6" s="85" t="n">
        <f aca="false">COUNTIFS('Daily Plan'!$B$5:$B$147,A6,'Daily Plan'!$F$5:$F$147,"&lt;&gt;Rest")</f>
        <v>10</v>
      </c>
      <c r="E6" s="85" t="n">
        <f aca="false">COUNTIFS('Daily Plan'!$B$5:$B$147,A6,'Daily Plan'!$K$5:$K$147,"Yes")+COUNTIFS('Daily Plan'!$B$5:$B$147,A6,'Daily Plan'!$K$5:$K$147,"Partial")</f>
        <v>0</v>
      </c>
      <c r="F6" s="87" t="n">
        <f aca="false">IFERROR(E6/D6,"")</f>
        <v>0</v>
      </c>
      <c r="G6" s="85" t="n">
        <f aca="false">SUMIFS('Daily Plan'!$I$5:$I$147,'Daily Plan'!$B$5:$B$147,A6,'Daily Plan'!$F$5:$F$147,"Run",'Daily Plan'!$J$5:$J$147,"min")</f>
        <v>105</v>
      </c>
      <c r="H6" s="85" t="n">
        <f aca="false">SUMIFS('Daily Plan'!$L$5:$L$147,'Daily Plan'!$B$5:$B$147,A6,'Daily Plan'!$F$5:$F$147,"Run")</f>
        <v>0</v>
      </c>
      <c r="I6" s="85" t="n">
        <v>45</v>
      </c>
      <c r="J6" s="85" t="n">
        <f aca="false">IFERROR(INDEX('Daily Plan'!$L$5:$L$147,MATCH(1,INDEX(('Daily Plan'!$B$5:$B$147=A6)*('Daily Plan'!$C$5:$C$147="Saturday")*('Daily Plan'!$F$5:$F$147="Run"),0),0)),"")</f>
        <v>0</v>
      </c>
      <c r="K6" s="88" t="str">
        <f aca="false">IFERROR(AVERAGEIFS('Daily Plan'!$N$5:$N$147,'Daily Plan'!$B$5:$B$147,A6,'Daily Plan'!$F$5:$F$147,"Run"),"")</f>
        <v/>
      </c>
      <c r="L6" s="88" t="str">
        <f aca="false">IFERROR(AVERAGEIFS('Daily Log'!$H$5:$H$106,'Daily Log'!$B$5:$B$106,A6),"")</f>
        <v/>
      </c>
      <c r="M6" s="88" t="str">
        <f aca="false">IFERROR(AVERAGEIFS('Daily Log'!$I$5:$I$106,'Daily Log'!$B$5:$B$106,A6),"")</f>
        <v/>
      </c>
      <c r="N6" s="85" t="str">
        <f aca="false">IF(COUNTIFS('Daily Log'!$B$5:$B$106,A6,'Daily Log'!$K$5:$K$106,"&gt;=0")=0,"",_xlfn.MAXIFS('Daily Log'!$K$5:$K$106,'Daily Log'!$B$5:$B$106,A6))</f>
        <v/>
      </c>
      <c r="O6" s="88" t="str">
        <f aca="false">IFERROR(AVERAGEIFS('Daily Log'!$M$5:$M$106,'Daily Log'!$B$5:$B$106,A6),"")</f>
        <v/>
      </c>
      <c r="P6" s="88" t="str">
        <f aca="false">IFERROR(AVERAGEIFS('Daily Log'!$N$5:$N$106,'Daily Log'!$B$5:$B$106,A6),"")</f>
        <v/>
      </c>
      <c r="Q6" s="88" t="str">
        <f aca="false">IFERROR(AVERAGEIFS('Daily Log'!$E$5:$E$106,'Daily Log'!$B$5:$B$106,A6),"")</f>
        <v/>
      </c>
      <c r="R6" s="89" t="str">
        <f aca="false">IF(OR(Q6="",Q5=""),"",Q6-Q5)</f>
        <v/>
      </c>
      <c r="S6" s="90"/>
      <c r="T6" s="90"/>
      <c r="U6" s="91"/>
      <c r="V6" s="85" t="str">
        <f aca="false">IF(E6=0,"",IF(OR(AND(N6&lt;&gt;"",N6&gt;=4),AND(F6&lt;&gt;"",F6&lt;0.6),AND(L6&lt;&gt;"",L6&lt;6)),"Red: step back",IF(OR(AND(F6&lt;&gt;"",F6&lt;0.85),AND(K6&lt;&gt;"",K6&gt;=5),AND(N6&lt;&gt;"",N6&gt;=3),AND(L6&lt;&gt;"",L6&lt;6.5),AND(O6&lt;&gt;"",O6&lt;3),AND(P6&lt;&gt;"",P6&lt;3)),"Amber: repeat the week","Green: progress")))</f>
        <v/>
      </c>
      <c r="W6" s="24"/>
    </row>
    <row r="7" customFormat="false" ht="15" hidden="false" customHeight="false" outlineLevel="0" collapsed="false">
      <c r="A7" s="85" t="n">
        <v>2</v>
      </c>
      <c r="B7" s="86" t="n">
        <v>46335</v>
      </c>
      <c r="C7" s="85" t="s">
        <v>97</v>
      </c>
      <c r="D7" s="85" t="n">
        <f aca="false">COUNTIFS('Daily Plan'!$B$5:$B$147,A7,'Daily Plan'!$F$5:$F$147,"&lt;&gt;Rest")</f>
        <v>10</v>
      </c>
      <c r="E7" s="85" t="n">
        <f aca="false">COUNTIFS('Daily Plan'!$B$5:$B$147,A7,'Daily Plan'!$K$5:$K$147,"Yes")+COUNTIFS('Daily Plan'!$B$5:$B$147,A7,'Daily Plan'!$K$5:$K$147,"Partial")</f>
        <v>0</v>
      </c>
      <c r="F7" s="87" t="n">
        <f aca="false">IFERROR(E7/D7,"")</f>
        <v>0</v>
      </c>
      <c r="G7" s="85" t="n">
        <f aca="false">SUMIFS('Daily Plan'!$I$5:$I$147,'Daily Plan'!$B$5:$B$147,A7,'Daily Plan'!$F$5:$F$147,"Run",'Daily Plan'!$J$5:$J$147,"min")</f>
        <v>115</v>
      </c>
      <c r="H7" s="85" t="n">
        <f aca="false">SUMIFS('Daily Plan'!$L$5:$L$147,'Daily Plan'!$B$5:$B$147,A7,'Daily Plan'!$F$5:$F$147,"Run")</f>
        <v>0</v>
      </c>
      <c r="I7" s="85" t="n">
        <v>50</v>
      </c>
      <c r="J7" s="85" t="n">
        <f aca="false">IFERROR(INDEX('Daily Plan'!$L$5:$L$147,MATCH(1,INDEX(('Daily Plan'!$B$5:$B$147=A7)*('Daily Plan'!$C$5:$C$147="Saturday")*('Daily Plan'!$F$5:$F$147="Run"),0),0)),"")</f>
        <v>0</v>
      </c>
      <c r="K7" s="88" t="str">
        <f aca="false">IFERROR(AVERAGEIFS('Daily Plan'!$N$5:$N$147,'Daily Plan'!$B$5:$B$147,A7,'Daily Plan'!$F$5:$F$147,"Run"),"")</f>
        <v/>
      </c>
      <c r="L7" s="88" t="str">
        <f aca="false">IFERROR(AVERAGEIFS('Daily Log'!$H$5:$H$106,'Daily Log'!$B$5:$B$106,A7),"")</f>
        <v/>
      </c>
      <c r="M7" s="88" t="str">
        <f aca="false">IFERROR(AVERAGEIFS('Daily Log'!$I$5:$I$106,'Daily Log'!$B$5:$B$106,A7),"")</f>
        <v/>
      </c>
      <c r="N7" s="85" t="str">
        <f aca="false">IF(COUNTIFS('Daily Log'!$B$5:$B$106,A7,'Daily Log'!$K$5:$K$106,"&gt;=0")=0,"",_xlfn.MAXIFS('Daily Log'!$K$5:$K$106,'Daily Log'!$B$5:$B$106,A7))</f>
        <v/>
      </c>
      <c r="O7" s="88" t="str">
        <f aca="false">IFERROR(AVERAGEIFS('Daily Log'!$M$5:$M$106,'Daily Log'!$B$5:$B$106,A7),"")</f>
        <v/>
      </c>
      <c r="P7" s="88" t="str">
        <f aca="false">IFERROR(AVERAGEIFS('Daily Log'!$N$5:$N$106,'Daily Log'!$B$5:$B$106,A7),"")</f>
        <v/>
      </c>
      <c r="Q7" s="88" t="str">
        <f aca="false">IFERROR(AVERAGEIFS('Daily Log'!$E$5:$E$106,'Daily Log'!$B$5:$B$106,A7),"")</f>
        <v/>
      </c>
      <c r="R7" s="89" t="str">
        <f aca="false">IF(OR(Q7="",Q6=""),"",Q7-Q6)</f>
        <v/>
      </c>
      <c r="S7" s="90"/>
      <c r="T7" s="90"/>
      <c r="U7" s="91"/>
      <c r="V7" s="85" t="str">
        <f aca="false">IF(E7=0,"",IF(OR(AND(N7&lt;&gt;"",N7&gt;=4),AND(F7&lt;&gt;"",F7&lt;0.6),AND(L7&lt;&gt;"",L7&lt;6)),"Red: step back",IF(OR(AND(F7&lt;&gt;"",F7&lt;0.85),AND(K7&lt;&gt;"",K7&gt;=5),AND(N7&lt;&gt;"",N7&gt;=3),AND(L7&lt;&gt;"",L7&lt;6.5),AND(O7&lt;&gt;"",O7&lt;3),AND(P7&lt;&gt;"",P7&lt;3)),"Amber: repeat the week","Green: progress")))</f>
        <v/>
      </c>
      <c r="W7" s="24"/>
    </row>
    <row r="8" customFormat="false" ht="15" hidden="false" customHeight="false" outlineLevel="0" collapsed="false">
      <c r="A8" s="85" t="n">
        <v>3</v>
      </c>
      <c r="B8" s="86" t="n">
        <v>46342</v>
      </c>
      <c r="C8" s="85" t="s">
        <v>97</v>
      </c>
      <c r="D8" s="85" t="n">
        <f aca="false">COUNTIFS('Daily Plan'!$B$5:$B$147,A8,'Daily Plan'!$F$5:$F$147,"&lt;&gt;Rest")</f>
        <v>10</v>
      </c>
      <c r="E8" s="85" t="n">
        <f aca="false">COUNTIFS('Daily Plan'!$B$5:$B$147,A8,'Daily Plan'!$K$5:$K$147,"Yes")+COUNTIFS('Daily Plan'!$B$5:$B$147,A8,'Daily Plan'!$K$5:$K$147,"Partial")</f>
        <v>0</v>
      </c>
      <c r="F8" s="87" t="n">
        <f aca="false">IFERROR(E8/D8,"")</f>
        <v>0</v>
      </c>
      <c r="G8" s="85" t="n">
        <f aca="false">SUMIFS('Daily Plan'!$I$5:$I$147,'Daily Plan'!$B$5:$B$147,A8,'Daily Plan'!$F$5:$F$147,"Run",'Daily Plan'!$J$5:$J$147,"min")</f>
        <v>130</v>
      </c>
      <c r="H8" s="85" t="n">
        <f aca="false">SUMIFS('Daily Plan'!$L$5:$L$147,'Daily Plan'!$B$5:$B$147,A8,'Daily Plan'!$F$5:$F$147,"Run")</f>
        <v>0</v>
      </c>
      <c r="I8" s="85" t="n">
        <v>60</v>
      </c>
      <c r="J8" s="85" t="n">
        <f aca="false">IFERROR(INDEX('Daily Plan'!$L$5:$L$147,MATCH(1,INDEX(('Daily Plan'!$B$5:$B$147=A8)*('Daily Plan'!$C$5:$C$147="Saturday")*('Daily Plan'!$F$5:$F$147="Run"),0),0)),"")</f>
        <v>0</v>
      </c>
      <c r="K8" s="88" t="str">
        <f aca="false">IFERROR(AVERAGEIFS('Daily Plan'!$N$5:$N$147,'Daily Plan'!$B$5:$B$147,A8,'Daily Plan'!$F$5:$F$147,"Run"),"")</f>
        <v/>
      </c>
      <c r="L8" s="88" t="str">
        <f aca="false">IFERROR(AVERAGEIFS('Daily Log'!$H$5:$H$106,'Daily Log'!$B$5:$B$106,A8),"")</f>
        <v/>
      </c>
      <c r="M8" s="88" t="str">
        <f aca="false">IFERROR(AVERAGEIFS('Daily Log'!$I$5:$I$106,'Daily Log'!$B$5:$B$106,A8),"")</f>
        <v/>
      </c>
      <c r="N8" s="85" t="str">
        <f aca="false">IF(COUNTIFS('Daily Log'!$B$5:$B$106,A8,'Daily Log'!$K$5:$K$106,"&gt;=0")=0,"",_xlfn.MAXIFS('Daily Log'!$K$5:$K$106,'Daily Log'!$B$5:$B$106,A8))</f>
        <v/>
      </c>
      <c r="O8" s="88" t="str">
        <f aca="false">IFERROR(AVERAGEIFS('Daily Log'!$M$5:$M$106,'Daily Log'!$B$5:$B$106,A8),"")</f>
        <v/>
      </c>
      <c r="P8" s="88" t="str">
        <f aca="false">IFERROR(AVERAGEIFS('Daily Log'!$N$5:$N$106,'Daily Log'!$B$5:$B$106,A8),"")</f>
        <v/>
      </c>
      <c r="Q8" s="88" t="str">
        <f aca="false">IFERROR(AVERAGEIFS('Daily Log'!$E$5:$E$106,'Daily Log'!$B$5:$B$106,A8),"")</f>
        <v/>
      </c>
      <c r="R8" s="89" t="str">
        <f aca="false">IF(OR(Q8="",Q7=""),"",Q8-Q7)</f>
        <v/>
      </c>
      <c r="S8" s="90"/>
      <c r="T8" s="90"/>
      <c r="U8" s="91"/>
      <c r="V8" s="85" t="str">
        <f aca="false">IF(E8=0,"",IF(OR(AND(N8&lt;&gt;"",N8&gt;=4),AND(F8&lt;&gt;"",F8&lt;0.6),AND(L8&lt;&gt;"",L8&lt;6)),"Red: step back",IF(OR(AND(F8&lt;&gt;"",F8&lt;0.85),AND(K8&lt;&gt;"",K8&gt;=5),AND(N8&lt;&gt;"",N8&gt;=3),AND(L8&lt;&gt;"",L8&lt;6.5),AND(O8&lt;&gt;"",O8&lt;3),AND(P8&lt;&gt;"",P8&lt;3)),"Amber: repeat the week","Green: progress")))</f>
        <v/>
      </c>
      <c r="W8" s="24"/>
    </row>
    <row r="9" customFormat="false" ht="15" hidden="false" customHeight="false" outlineLevel="0" collapsed="false">
      <c r="A9" s="85" t="n">
        <v>4</v>
      </c>
      <c r="B9" s="86" t="n">
        <v>46349</v>
      </c>
      <c r="C9" s="85" t="s">
        <v>97</v>
      </c>
      <c r="D9" s="85" t="n">
        <f aca="false">COUNTIFS('Daily Plan'!$B$5:$B$147,A9,'Daily Plan'!$F$5:$F$147,"&lt;&gt;Rest")</f>
        <v>10</v>
      </c>
      <c r="E9" s="85" t="n">
        <f aca="false">COUNTIFS('Daily Plan'!$B$5:$B$147,A9,'Daily Plan'!$K$5:$K$147,"Yes")+COUNTIFS('Daily Plan'!$B$5:$B$147,A9,'Daily Plan'!$K$5:$K$147,"Partial")</f>
        <v>0</v>
      </c>
      <c r="F9" s="87" t="n">
        <f aca="false">IFERROR(E9/D9,"")</f>
        <v>0</v>
      </c>
      <c r="G9" s="85" t="n">
        <f aca="false">SUMIFS('Daily Plan'!$I$5:$I$147,'Daily Plan'!$B$5:$B$147,A9,'Daily Plan'!$F$5:$F$147,"Run",'Daily Plan'!$J$5:$J$147,"min")</f>
        <v>120</v>
      </c>
      <c r="H9" s="85" t="n">
        <f aca="false">SUMIFS('Daily Plan'!$L$5:$L$147,'Daily Plan'!$B$5:$B$147,A9,'Daily Plan'!$F$5:$F$147,"Run")</f>
        <v>0</v>
      </c>
      <c r="I9" s="85" t="n">
        <v>45</v>
      </c>
      <c r="J9" s="85" t="n">
        <f aca="false">IFERROR(INDEX('Daily Plan'!$L$5:$L$147,MATCH(1,INDEX(('Daily Plan'!$B$5:$B$147=A9)*('Daily Plan'!$C$5:$C$147="Saturday")*('Daily Plan'!$F$5:$F$147="Run"),0),0)),"")</f>
        <v>0</v>
      </c>
      <c r="K9" s="88" t="str">
        <f aca="false">IFERROR(AVERAGEIFS('Daily Plan'!$N$5:$N$147,'Daily Plan'!$B$5:$B$147,A9,'Daily Plan'!$F$5:$F$147,"Run"),"")</f>
        <v/>
      </c>
      <c r="L9" s="88" t="str">
        <f aca="false">IFERROR(AVERAGEIFS('Daily Log'!$H$5:$H$106,'Daily Log'!$B$5:$B$106,A9),"")</f>
        <v/>
      </c>
      <c r="M9" s="88" t="str">
        <f aca="false">IFERROR(AVERAGEIFS('Daily Log'!$I$5:$I$106,'Daily Log'!$B$5:$B$106,A9),"")</f>
        <v/>
      </c>
      <c r="N9" s="85" t="str">
        <f aca="false">IF(COUNTIFS('Daily Log'!$B$5:$B$106,A9,'Daily Log'!$K$5:$K$106,"&gt;=0")=0,"",_xlfn.MAXIFS('Daily Log'!$K$5:$K$106,'Daily Log'!$B$5:$B$106,A9))</f>
        <v/>
      </c>
      <c r="O9" s="88" t="str">
        <f aca="false">IFERROR(AVERAGEIFS('Daily Log'!$M$5:$M$106,'Daily Log'!$B$5:$B$106,A9),"")</f>
        <v/>
      </c>
      <c r="P9" s="88" t="str">
        <f aca="false">IFERROR(AVERAGEIFS('Daily Log'!$N$5:$N$106,'Daily Log'!$B$5:$B$106,A9),"")</f>
        <v/>
      </c>
      <c r="Q9" s="88" t="str">
        <f aca="false">IFERROR(AVERAGEIFS('Daily Log'!$E$5:$E$106,'Daily Log'!$B$5:$B$106,A9),"")</f>
        <v/>
      </c>
      <c r="R9" s="89" t="str">
        <f aca="false">IF(OR(Q9="",Q8=""),"",Q9-Q8)</f>
        <v/>
      </c>
      <c r="S9" s="90"/>
      <c r="T9" s="90"/>
      <c r="U9" s="91"/>
      <c r="V9" s="85" t="str">
        <f aca="false">IF(E9=0,"",IF(OR(AND(N9&lt;&gt;"",N9&gt;=4),AND(F9&lt;&gt;"",F9&lt;0.6),AND(L9&lt;&gt;"",L9&lt;6)),"Red: step back",IF(OR(AND(F9&lt;&gt;"",F9&lt;0.85),AND(K9&lt;&gt;"",K9&gt;=5),AND(N9&lt;&gt;"",N9&gt;=3),AND(L9&lt;&gt;"",L9&lt;6.5),AND(O9&lt;&gt;"",O9&lt;3),AND(P9&lt;&gt;"",P9&lt;3)),"Amber: repeat the week","Green: progress")))</f>
        <v/>
      </c>
      <c r="W9" s="24"/>
    </row>
    <row r="10" customFormat="false" ht="23.85" hidden="false" customHeight="false" outlineLevel="0" collapsed="false">
      <c r="A10" s="92" t="n">
        <v>5</v>
      </c>
      <c r="B10" s="93" t="n">
        <v>46356</v>
      </c>
      <c r="C10" s="92" t="s">
        <v>49</v>
      </c>
      <c r="D10" s="92" t="n">
        <f aca="false">COUNTIFS('Daily Plan'!$B$5:$B$147,A10,'Daily Plan'!$F$5:$F$147,"&lt;&gt;Rest")</f>
        <v>10</v>
      </c>
      <c r="E10" s="92" t="n">
        <f aca="false">COUNTIFS('Daily Plan'!$B$5:$B$147,A10,'Daily Plan'!$K$5:$K$147,"Yes")+COUNTIFS('Daily Plan'!$B$5:$B$147,A10,'Daily Plan'!$K$5:$K$147,"Partial")</f>
        <v>0</v>
      </c>
      <c r="F10" s="94" t="n">
        <f aca="false">IFERROR(E10/D10,"")</f>
        <v>0</v>
      </c>
      <c r="G10" s="92" t="n">
        <f aca="false">SUMIFS('Daily Plan'!$I$5:$I$147,'Daily Plan'!$B$5:$B$147,A10,'Daily Plan'!$F$5:$F$147,"Run",'Daily Plan'!$J$5:$J$147,"min")</f>
        <v>145</v>
      </c>
      <c r="H10" s="92" t="n">
        <f aca="false">SUMIFS('Daily Plan'!$L$5:$L$147,'Daily Plan'!$B$5:$B$147,A10,'Daily Plan'!$F$5:$F$147,"Run")</f>
        <v>0</v>
      </c>
      <c r="I10" s="92" t="n">
        <v>70</v>
      </c>
      <c r="J10" s="92" t="n">
        <f aca="false">IFERROR(INDEX('Daily Plan'!$L$5:$L$147,MATCH(1,INDEX(('Daily Plan'!$B$5:$B$147=A10)*('Daily Plan'!$C$5:$C$147="Saturday")*('Daily Plan'!$F$5:$F$147="Run"),0),0)),"")</f>
        <v>0</v>
      </c>
      <c r="K10" s="95" t="str">
        <f aca="false">IFERROR(AVERAGEIFS('Daily Plan'!$N$5:$N$147,'Daily Plan'!$B$5:$B$147,A10,'Daily Plan'!$F$5:$F$147,"Run"),"")</f>
        <v/>
      </c>
      <c r="L10" s="95" t="str">
        <f aca="false">IFERROR(AVERAGEIFS('Daily Log'!$H$5:$H$106,'Daily Log'!$B$5:$B$106,A10),"")</f>
        <v/>
      </c>
      <c r="M10" s="95" t="str">
        <f aca="false">IFERROR(AVERAGEIFS('Daily Log'!$I$5:$I$106,'Daily Log'!$B$5:$B$106,A10),"")</f>
        <v/>
      </c>
      <c r="N10" s="92" t="str">
        <f aca="false">IF(COUNTIFS('Daily Log'!$B$5:$B$106,A10,'Daily Log'!$K$5:$K$106,"&gt;=0")=0,"",_xlfn.MAXIFS('Daily Log'!$K$5:$K$106,'Daily Log'!$B$5:$B$106,A10))</f>
        <v/>
      </c>
      <c r="O10" s="95" t="str">
        <f aca="false">IFERROR(AVERAGEIFS('Daily Log'!$M$5:$M$106,'Daily Log'!$B$5:$B$106,A10),"")</f>
        <v/>
      </c>
      <c r="P10" s="95" t="str">
        <f aca="false">IFERROR(AVERAGEIFS('Daily Log'!$N$5:$N$106,'Daily Log'!$B$5:$B$106,A10),"")</f>
        <v/>
      </c>
      <c r="Q10" s="95" t="str">
        <f aca="false">IFERROR(AVERAGEIFS('Daily Log'!$E$5:$E$106,'Daily Log'!$B$5:$B$106,A10),"")</f>
        <v/>
      </c>
      <c r="R10" s="96" t="str">
        <f aca="false">IF(OR(Q10="",Q9=""),"",Q10-Q9)</f>
        <v/>
      </c>
      <c r="S10" s="90"/>
      <c r="T10" s="90"/>
      <c r="U10" s="91"/>
      <c r="V10" s="92" t="str">
        <f aca="false">IF(E10=0,"",IF(OR(AND(N10&lt;&gt;"",N10&gt;=4),AND(F10&lt;&gt;"",F10&lt;0.6),AND(L10&lt;&gt;"",L10&lt;6)),"Red: step back",IF(OR(AND(F10&lt;&gt;"",F10&lt;0.85),AND(K10&lt;&gt;"",K10&gt;=5),AND(N10&lt;&gt;"",N10&gt;=3),AND(L10&lt;&gt;"",L10&lt;6.5),AND(O10&lt;&gt;"",O10&lt;3),AND(P10&lt;&gt;"",P10&lt;3)),"Amber: repeat the week","Green: progress")))</f>
        <v/>
      </c>
      <c r="W10" s="24"/>
    </row>
    <row r="11" customFormat="false" ht="23.85" hidden="false" customHeight="false" outlineLevel="0" collapsed="false">
      <c r="A11" s="92" t="n">
        <v>6</v>
      </c>
      <c r="B11" s="93" t="n">
        <v>46363</v>
      </c>
      <c r="C11" s="92" t="s">
        <v>49</v>
      </c>
      <c r="D11" s="92" t="n">
        <f aca="false">COUNTIFS('Daily Plan'!$B$5:$B$147,A11,'Daily Plan'!$F$5:$F$147,"&lt;&gt;Rest")</f>
        <v>10</v>
      </c>
      <c r="E11" s="92" t="n">
        <f aca="false">COUNTIFS('Daily Plan'!$B$5:$B$147,A11,'Daily Plan'!$K$5:$K$147,"Yes")+COUNTIFS('Daily Plan'!$B$5:$B$147,A11,'Daily Plan'!$K$5:$K$147,"Partial")</f>
        <v>0</v>
      </c>
      <c r="F11" s="94" t="n">
        <f aca="false">IFERROR(E11/D11,"")</f>
        <v>0</v>
      </c>
      <c r="G11" s="92" t="n">
        <f aca="false">SUMIFS('Daily Plan'!$I$5:$I$147,'Daily Plan'!$B$5:$B$147,A11,'Daily Plan'!$F$5:$F$147,"Run",'Daily Plan'!$J$5:$J$147,"min")</f>
        <v>160</v>
      </c>
      <c r="H11" s="92" t="n">
        <f aca="false">SUMIFS('Daily Plan'!$L$5:$L$147,'Daily Plan'!$B$5:$B$147,A11,'Daily Plan'!$F$5:$F$147,"Run")</f>
        <v>0</v>
      </c>
      <c r="I11" s="92" t="n">
        <v>80</v>
      </c>
      <c r="J11" s="92" t="n">
        <f aca="false">IFERROR(INDEX('Daily Plan'!$L$5:$L$147,MATCH(1,INDEX(('Daily Plan'!$B$5:$B$147=A11)*('Daily Plan'!$C$5:$C$147="Saturday")*('Daily Plan'!$F$5:$F$147="Run"),0),0)),"")</f>
        <v>0</v>
      </c>
      <c r="K11" s="95" t="str">
        <f aca="false">IFERROR(AVERAGEIFS('Daily Plan'!$N$5:$N$147,'Daily Plan'!$B$5:$B$147,A11,'Daily Plan'!$F$5:$F$147,"Run"),"")</f>
        <v/>
      </c>
      <c r="L11" s="95" t="str">
        <f aca="false">IFERROR(AVERAGEIFS('Daily Log'!$H$5:$H$106,'Daily Log'!$B$5:$B$106,A11),"")</f>
        <v/>
      </c>
      <c r="M11" s="95" t="str">
        <f aca="false">IFERROR(AVERAGEIFS('Daily Log'!$I$5:$I$106,'Daily Log'!$B$5:$B$106,A11),"")</f>
        <v/>
      </c>
      <c r="N11" s="92" t="str">
        <f aca="false">IF(COUNTIFS('Daily Log'!$B$5:$B$106,A11,'Daily Log'!$K$5:$K$106,"&gt;=0")=0,"",_xlfn.MAXIFS('Daily Log'!$K$5:$K$106,'Daily Log'!$B$5:$B$106,A11))</f>
        <v/>
      </c>
      <c r="O11" s="95" t="str">
        <f aca="false">IFERROR(AVERAGEIFS('Daily Log'!$M$5:$M$106,'Daily Log'!$B$5:$B$106,A11),"")</f>
        <v/>
      </c>
      <c r="P11" s="95" t="str">
        <f aca="false">IFERROR(AVERAGEIFS('Daily Log'!$N$5:$N$106,'Daily Log'!$B$5:$B$106,A11),"")</f>
        <v/>
      </c>
      <c r="Q11" s="95" t="str">
        <f aca="false">IFERROR(AVERAGEIFS('Daily Log'!$E$5:$E$106,'Daily Log'!$B$5:$B$106,A11),"")</f>
        <v/>
      </c>
      <c r="R11" s="96" t="str">
        <f aca="false">IF(OR(Q11="",Q10=""),"",Q11-Q10)</f>
        <v/>
      </c>
      <c r="S11" s="90"/>
      <c r="T11" s="90"/>
      <c r="U11" s="91"/>
      <c r="V11" s="92" t="str">
        <f aca="false">IF(E11=0,"",IF(OR(AND(N11&lt;&gt;"",N11&gt;=4),AND(F11&lt;&gt;"",F11&lt;0.6),AND(L11&lt;&gt;"",L11&lt;6)),"Red: step back",IF(OR(AND(F11&lt;&gt;"",F11&lt;0.85),AND(K11&lt;&gt;"",K11&gt;=5),AND(N11&lt;&gt;"",N11&gt;=3),AND(L11&lt;&gt;"",L11&lt;6.5),AND(O11&lt;&gt;"",O11&lt;3),AND(P11&lt;&gt;"",P11&lt;3)),"Amber: repeat the week","Green: progress")))</f>
        <v/>
      </c>
      <c r="W11" s="24"/>
    </row>
    <row r="12" customFormat="false" ht="23.85" hidden="false" customHeight="false" outlineLevel="0" collapsed="false">
      <c r="A12" s="92" t="n">
        <v>7</v>
      </c>
      <c r="B12" s="93" t="n">
        <v>46370</v>
      </c>
      <c r="C12" s="92" t="s">
        <v>49</v>
      </c>
      <c r="D12" s="92" t="n">
        <f aca="false">COUNTIFS('Daily Plan'!$B$5:$B$147,A12,'Daily Plan'!$F$5:$F$147,"&lt;&gt;Rest")</f>
        <v>10</v>
      </c>
      <c r="E12" s="92" t="n">
        <f aca="false">COUNTIFS('Daily Plan'!$B$5:$B$147,A12,'Daily Plan'!$K$5:$K$147,"Yes")+COUNTIFS('Daily Plan'!$B$5:$B$147,A12,'Daily Plan'!$K$5:$K$147,"Partial")</f>
        <v>0</v>
      </c>
      <c r="F12" s="94" t="n">
        <f aca="false">IFERROR(E12/D12,"")</f>
        <v>0</v>
      </c>
      <c r="G12" s="92" t="n">
        <f aca="false">SUMIFS('Daily Plan'!$I$5:$I$147,'Daily Plan'!$B$5:$B$147,A12,'Daily Plan'!$F$5:$F$147,"Run",'Daily Plan'!$J$5:$J$147,"min")</f>
        <v>175</v>
      </c>
      <c r="H12" s="92" t="n">
        <f aca="false">SUMIFS('Daily Plan'!$L$5:$L$147,'Daily Plan'!$B$5:$B$147,A12,'Daily Plan'!$F$5:$F$147,"Run")</f>
        <v>0</v>
      </c>
      <c r="I12" s="92" t="n">
        <v>90</v>
      </c>
      <c r="J12" s="92" t="n">
        <f aca="false">IFERROR(INDEX('Daily Plan'!$L$5:$L$147,MATCH(1,INDEX(('Daily Plan'!$B$5:$B$147=A12)*('Daily Plan'!$C$5:$C$147="Saturday")*('Daily Plan'!$F$5:$F$147="Run"),0),0)),"")</f>
        <v>0</v>
      </c>
      <c r="K12" s="95" t="str">
        <f aca="false">IFERROR(AVERAGEIFS('Daily Plan'!$N$5:$N$147,'Daily Plan'!$B$5:$B$147,A12,'Daily Plan'!$F$5:$F$147,"Run"),"")</f>
        <v/>
      </c>
      <c r="L12" s="95" t="str">
        <f aca="false">IFERROR(AVERAGEIFS('Daily Log'!$H$5:$H$106,'Daily Log'!$B$5:$B$106,A12),"")</f>
        <v/>
      </c>
      <c r="M12" s="95" t="str">
        <f aca="false">IFERROR(AVERAGEIFS('Daily Log'!$I$5:$I$106,'Daily Log'!$B$5:$B$106,A12),"")</f>
        <v/>
      </c>
      <c r="N12" s="92" t="str">
        <f aca="false">IF(COUNTIFS('Daily Log'!$B$5:$B$106,A12,'Daily Log'!$K$5:$K$106,"&gt;=0")=0,"",_xlfn.MAXIFS('Daily Log'!$K$5:$K$106,'Daily Log'!$B$5:$B$106,A12))</f>
        <v/>
      </c>
      <c r="O12" s="95" t="str">
        <f aca="false">IFERROR(AVERAGEIFS('Daily Log'!$M$5:$M$106,'Daily Log'!$B$5:$B$106,A12),"")</f>
        <v/>
      </c>
      <c r="P12" s="95" t="str">
        <f aca="false">IFERROR(AVERAGEIFS('Daily Log'!$N$5:$N$106,'Daily Log'!$B$5:$B$106,A12),"")</f>
        <v/>
      </c>
      <c r="Q12" s="95" t="str">
        <f aca="false">IFERROR(AVERAGEIFS('Daily Log'!$E$5:$E$106,'Daily Log'!$B$5:$B$106,A12),"")</f>
        <v/>
      </c>
      <c r="R12" s="96" t="str">
        <f aca="false">IF(OR(Q12="",Q11=""),"",Q12-Q11)</f>
        <v/>
      </c>
      <c r="S12" s="90"/>
      <c r="T12" s="90"/>
      <c r="U12" s="91"/>
      <c r="V12" s="92" t="str">
        <f aca="false">IF(E12=0,"",IF(OR(AND(N12&lt;&gt;"",N12&gt;=4),AND(F12&lt;&gt;"",F12&lt;0.6),AND(L12&lt;&gt;"",L12&lt;6)),"Red: step back",IF(OR(AND(F12&lt;&gt;"",F12&lt;0.85),AND(K12&lt;&gt;"",K12&gt;=5),AND(N12&lt;&gt;"",N12&gt;=3),AND(L12&lt;&gt;"",L12&lt;6.5),AND(O12&lt;&gt;"",O12&lt;3),AND(P12&lt;&gt;"",P12&lt;3)),"Amber: repeat the week","Green: progress")))</f>
        <v/>
      </c>
      <c r="W12" s="24"/>
    </row>
    <row r="13" customFormat="false" ht="23.85" hidden="false" customHeight="false" outlineLevel="0" collapsed="false">
      <c r="A13" s="92" t="n">
        <v>8</v>
      </c>
      <c r="B13" s="93" t="n">
        <v>46377</v>
      </c>
      <c r="C13" s="92" t="s">
        <v>49</v>
      </c>
      <c r="D13" s="92" t="n">
        <f aca="false">COUNTIFS('Daily Plan'!$B$5:$B$147,A13,'Daily Plan'!$F$5:$F$147,"&lt;&gt;Rest")</f>
        <v>10</v>
      </c>
      <c r="E13" s="92" t="n">
        <f aca="false">COUNTIFS('Daily Plan'!$B$5:$B$147,A13,'Daily Plan'!$K$5:$K$147,"Yes")+COUNTIFS('Daily Plan'!$B$5:$B$147,A13,'Daily Plan'!$K$5:$K$147,"Partial")</f>
        <v>0</v>
      </c>
      <c r="F13" s="94" t="n">
        <f aca="false">IFERROR(E13/D13,"")</f>
        <v>0</v>
      </c>
      <c r="G13" s="92" t="n">
        <f aca="false">SUMIFS('Daily Plan'!$I$5:$I$147,'Daily Plan'!$B$5:$B$147,A13,'Daily Plan'!$F$5:$F$147,"Run",'Daily Plan'!$J$5:$J$147,"min")</f>
        <v>155</v>
      </c>
      <c r="H13" s="92" t="n">
        <f aca="false">SUMIFS('Daily Plan'!$L$5:$L$147,'Daily Plan'!$B$5:$B$147,A13,'Daily Plan'!$F$5:$F$147,"Run")</f>
        <v>0</v>
      </c>
      <c r="I13" s="92" t="n">
        <v>70</v>
      </c>
      <c r="J13" s="92" t="n">
        <f aca="false">IFERROR(INDEX('Daily Plan'!$L$5:$L$147,MATCH(1,INDEX(('Daily Plan'!$B$5:$B$147=A13)*('Daily Plan'!$C$5:$C$147="Saturday")*('Daily Plan'!$F$5:$F$147="Run"),0),0)),"")</f>
        <v>0</v>
      </c>
      <c r="K13" s="95" t="str">
        <f aca="false">IFERROR(AVERAGEIFS('Daily Plan'!$N$5:$N$147,'Daily Plan'!$B$5:$B$147,A13,'Daily Plan'!$F$5:$F$147,"Run"),"")</f>
        <v/>
      </c>
      <c r="L13" s="95" t="str">
        <f aca="false">IFERROR(AVERAGEIFS('Daily Log'!$H$5:$H$106,'Daily Log'!$B$5:$B$106,A13),"")</f>
        <v/>
      </c>
      <c r="M13" s="95" t="str">
        <f aca="false">IFERROR(AVERAGEIFS('Daily Log'!$I$5:$I$106,'Daily Log'!$B$5:$B$106,A13),"")</f>
        <v/>
      </c>
      <c r="N13" s="92" t="str">
        <f aca="false">IF(COUNTIFS('Daily Log'!$B$5:$B$106,A13,'Daily Log'!$K$5:$K$106,"&gt;=0")=0,"",_xlfn.MAXIFS('Daily Log'!$K$5:$K$106,'Daily Log'!$B$5:$B$106,A13))</f>
        <v/>
      </c>
      <c r="O13" s="95" t="str">
        <f aca="false">IFERROR(AVERAGEIFS('Daily Log'!$M$5:$M$106,'Daily Log'!$B$5:$B$106,A13),"")</f>
        <v/>
      </c>
      <c r="P13" s="95" t="str">
        <f aca="false">IFERROR(AVERAGEIFS('Daily Log'!$N$5:$N$106,'Daily Log'!$B$5:$B$106,A13),"")</f>
        <v/>
      </c>
      <c r="Q13" s="95" t="str">
        <f aca="false">IFERROR(AVERAGEIFS('Daily Log'!$E$5:$E$106,'Daily Log'!$B$5:$B$106,A13),"")</f>
        <v/>
      </c>
      <c r="R13" s="96" t="str">
        <f aca="false">IF(OR(Q13="",Q12=""),"",Q13-Q12)</f>
        <v/>
      </c>
      <c r="S13" s="90"/>
      <c r="T13" s="90"/>
      <c r="U13" s="91"/>
      <c r="V13" s="92" t="str">
        <f aca="false">IF(E13=0,"",IF(OR(AND(N13&lt;&gt;"",N13&gt;=4),AND(F13&lt;&gt;"",F13&lt;0.6),AND(L13&lt;&gt;"",L13&lt;6)),"Red: step back",IF(OR(AND(F13&lt;&gt;"",F13&lt;0.85),AND(K13&lt;&gt;"",K13&gt;=5),AND(N13&lt;&gt;"",N13&gt;=3),AND(L13&lt;&gt;"",L13&lt;6.5),AND(O13&lt;&gt;"",O13&lt;3),AND(P13&lt;&gt;"",P13&lt;3)),"Amber: repeat the week","Green: progress")))</f>
        <v/>
      </c>
      <c r="W13" s="24"/>
    </row>
    <row r="14" customFormat="false" ht="23.85" hidden="false" customHeight="false" outlineLevel="0" collapsed="false">
      <c r="A14" s="97" t="n">
        <v>9</v>
      </c>
      <c r="B14" s="98" t="n">
        <v>46384</v>
      </c>
      <c r="C14" s="97" t="s">
        <v>53</v>
      </c>
      <c r="D14" s="97" t="n">
        <f aca="false">COUNTIFS('Daily Plan'!$B$5:$B$147,A14,'Daily Plan'!$F$5:$F$147,"&lt;&gt;Rest")</f>
        <v>10</v>
      </c>
      <c r="E14" s="97" t="n">
        <f aca="false">COUNTIFS('Daily Plan'!$B$5:$B$147,A14,'Daily Plan'!$K$5:$K$147,"Yes")+COUNTIFS('Daily Plan'!$B$5:$B$147,A14,'Daily Plan'!$K$5:$K$147,"Partial")</f>
        <v>0</v>
      </c>
      <c r="F14" s="99" t="n">
        <f aca="false">IFERROR(E14/D14,"")</f>
        <v>0</v>
      </c>
      <c r="G14" s="97" t="n">
        <f aca="false">SUMIFS('Daily Plan'!$I$5:$I$147,'Daily Plan'!$B$5:$B$147,A14,'Daily Plan'!$F$5:$F$147,"Run",'Daily Plan'!$J$5:$J$147,"min")</f>
        <v>195</v>
      </c>
      <c r="H14" s="97" t="n">
        <f aca="false">SUMIFS('Daily Plan'!$L$5:$L$147,'Daily Plan'!$B$5:$B$147,A14,'Daily Plan'!$F$5:$F$147,"Run")</f>
        <v>0</v>
      </c>
      <c r="I14" s="97" t="n">
        <v>105</v>
      </c>
      <c r="J14" s="97" t="n">
        <f aca="false">IFERROR(INDEX('Daily Plan'!$L$5:$L$147,MATCH(1,INDEX(('Daily Plan'!$B$5:$B$147=A14)*('Daily Plan'!$C$5:$C$147="Saturday")*('Daily Plan'!$F$5:$F$147="Run"),0),0)),"")</f>
        <v>0</v>
      </c>
      <c r="K14" s="100" t="str">
        <f aca="false">IFERROR(AVERAGEIFS('Daily Plan'!$N$5:$N$147,'Daily Plan'!$B$5:$B$147,A14,'Daily Plan'!$F$5:$F$147,"Run"),"")</f>
        <v/>
      </c>
      <c r="L14" s="100" t="str">
        <f aca="false">IFERROR(AVERAGEIFS('Daily Log'!$H$5:$H$106,'Daily Log'!$B$5:$B$106,A14),"")</f>
        <v/>
      </c>
      <c r="M14" s="100" t="str">
        <f aca="false">IFERROR(AVERAGEIFS('Daily Log'!$I$5:$I$106,'Daily Log'!$B$5:$B$106,A14),"")</f>
        <v/>
      </c>
      <c r="N14" s="97" t="str">
        <f aca="false">IF(COUNTIFS('Daily Log'!$B$5:$B$106,A14,'Daily Log'!$K$5:$K$106,"&gt;=0")=0,"",_xlfn.MAXIFS('Daily Log'!$K$5:$K$106,'Daily Log'!$B$5:$B$106,A14))</f>
        <v/>
      </c>
      <c r="O14" s="100" t="str">
        <f aca="false">IFERROR(AVERAGEIFS('Daily Log'!$M$5:$M$106,'Daily Log'!$B$5:$B$106,A14),"")</f>
        <v/>
      </c>
      <c r="P14" s="100" t="str">
        <f aca="false">IFERROR(AVERAGEIFS('Daily Log'!$N$5:$N$106,'Daily Log'!$B$5:$B$106,A14),"")</f>
        <v/>
      </c>
      <c r="Q14" s="100" t="str">
        <f aca="false">IFERROR(AVERAGEIFS('Daily Log'!$E$5:$E$106,'Daily Log'!$B$5:$B$106,A14),"")</f>
        <v/>
      </c>
      <c r="R14" s="101" t="str">
        <f aca="false">IF(OR(Q14="",Q13=""),"",Q14-Q13)</f>
        <v/>
      </c>
      <c r="S14" s="90"/>
      <c r="T14" s="90"/>
      <c r="U14" s="91"/>
      <c r="V14" s="97" t="str">
        <f aca="false">IF(E14=0,"",IF(OR(AND(N14&lt;&gt;"",N14&gt;=4),AND(F14&lt;&gt;"",F14&lt;0.6),AND(L14&lt;&gt;"",L14&lt;6)),"Red: step back",IF(OR(AND(F14&lt;&gt;"",F14&lt;0.85),AND(K14&lt;&gt;"",K14&gt;=5),AND(N14&lt;&gt;"",N14&gt;=3),AND(L14&lt;&gt;"",L14&lt;6.5),AND(O14&lt;&gt;"",O14&lt;3),AND(P14&lt;&gt;"",P14&lt;3)),"Amber: repeat the week","Green: progress")))</f>
        <v/>
      </c>
      <c r="W14" s="24"/>
    </row>
    <row r="15" customFormat="false" ht="23.85" hidden="false" customHeight="false" outlineLevel="0" collapsed="false">
      <c r="A15" s="97" t="n">
        <v>10</v>
      </c>
      <c r="B15" s="98" t="n">
        <v>46391</v>
      </c>
      <c r="C15" s="97" t="s">
        <v>53</v>
      </c>
      <c r="D15" s="97" t="n">
        <f aca="false">COUNTIFS('Daily Plan'!$B$5:$B$147,A15,'Daily Plan'!$F$5:$F$147,"&lt;&gt;Rest")</f>
        <v>10</v>
      </c>
      <c r="E15" s="97" t="n">
        <f aca="false">COUNTIFS('Daily Plan'!$B$5:$B$147,A15,'Daily Plan'!$K$5:$K$147,"Yes")+COUNTIFS('Daily Plan'!$B$5:$B$147,A15,'Daily Plan'!$K$5:$K$147,"Partial")</f>
        <v>0</v>
      </c>
      <c r="F15" s="99" t="n">
        <f aca="false">IFERROR(E15/D15,"")</f>
        <v>0</v>
      </c>
      <c r="G15" s="97" t="n">
        <f aca="false">SUMIFS('Daily Plan'!$I$5:$I$147,'Daily Plan'!$B$5:$B$147,A15,'Daily Plan'!$F$5:$F$147,"Run",'Daily Plan'!$J$5:$J$147,"min")</f>
        <v>215</v>
      </c>
      <c r="H15" s="97" t="n">
        <f aca="false">SUMIFS('Daily Plan'!$L$5:$L$147,'Daily Plan'!$B$5:$B$147,A15,'Daily Plan'!$F$5:$F$147,"Run")</f>
        <v>0</v>
      </c>
      <c r="I15" s="97" t="n">
        <v>120</v>
      </c>
      <c r="J15" s="97" t="n">
        <f aca="false">IFERROR(INDEX('Daily Plan'!$L$5:$L$147,MATCH(1,INDEX(('Daily Plan'!$B$5:$B$147=A15)*('Daily Plan'!$C$5:$C$147="Saturday")*('Daily Plan'!$F$5:$F$147="Run"),0),0)),"")</f>
        <v>0</v>
      </c>
      <c r="K15" s="100" t="str">
        <f aca="false">IFERROR(AVERAGEIFS('Daily Plan'!$N$5:$N$147,'Daily Plan'!$B$5:$B$147,A15,'Daily Plan'!$F$5:$F$147,"Run"),"")</f>
        <v/>
      </c>
      <c r="L15" s="100" t="str">
        <f aca="false">IFERROR(AVERAGEIFS('Daily Log'!$H$5:$H$106,'Daily Log'!$B$5:$B$106,A15),"")</f>
        <v/>
      </c>
      <c r="M15" s="100" t="str">
        <f aca="false">IFERROR(AVERAGEIFS('Daily Log'!$I$5:$I$106,'Daily Log'!$B$5:$B$106,A15),"")</f>
        <v/>
      </c>
      <c r="N15" s="97" t="str">
        <f aca="false">IF(COUNTIFS('Daily Log'!$B$5:$B$106,A15,'Daily Log'!$K$5:$K$106,"&gt;=0")=0,"",_xlfn.MAXIFS('Daily Log'!$K$5:$K$106,'Daily Log'!$B$5:$B$106,A15))</f>
        <v/>
      </c>
      <c r="O15" s="100" t="str">
        <f aca="false">IFERROR(AVERAGEIFS('Daily Log'!$M$5:$M$106,'Daily Log'!$B$5:$B$106,A15),"")</f>
        <v/>
      </c>
      <c r="P15" s="100" t="str">
        <f aca="false">IFERROR(AVERAGEIFS('Daily Log'!$N$5:$N$106,'Daily Log'!$B$5:$B$106,A15),"")</f>
        <v/>
      </c>
      <c r="Q15" s="100" t="str">
        <f aca="false">IFERROR(AVERAGEIFS('Daily Log'!$E$5:$E$106,'Daily Log'!$B$5:$B$106,A15),"")</f>
        <v/>
      </c>
      <c r="R15" s="101" t="str">
        <f aca="false">IF(OR(Q15="",Q14=""),"",Q15-Q14)</f>
        <v/>
      </c>
      <c r="S15" s="90"/>
      <c r="T15" s="90"/>
      <c r="U15" s="91"/>
      <c r="V15" s="97" t="str">
        <f aca="false">IF(E15=0,"",IF(OR(AND(N15&lt;&gt;"",N15&gt;=4),AND(F15&lt;&gt;"",F15&lt;0.6),AND(L15&lt;&gt;"",L15&lt;6)),"Red: step back",IF(OR(AND(F15&lt;&gt;"",F15&lt;0.85),AND(K15&lt;&gt;"",K15&gt;=5),AND(N15&lt;&gt;"",N15&gt;=3),AND(L15&lt;&gt;"",L15&lt;6.5),AND(O15&lt;&gt;"",O15&lt;3),AND(P15&lt;&gt;"",P15&lt;3)),"Amber: repeat the week","Green: progress")))</f>
        <v/>
      </c>
      <c r="W15" s="24"/>
    </row>
    <row r="16" customFormat="false" ht="23.85" hidden="false" customHeight="false" outlineLevel="0" collapsed="false">
      <c r="A16" s="97" t="n">
        <v>11</v>
      </c>
      <c r="B16" s="98" t="n">
        <v>46398</v>
      </c>
      <c r="C16" s="97" t="s">
        <v>53</v>
      </c>
      <c r="D16" s="97" t="n">
        <f aca="false">COUNTIFS('Daily Plan'!$B$5:$B$147,A16,'Daily Plan'!$F$5:$F$147,"&lt;&gt;Rest")</f>
        <v>10</v>
      </c>
      <c r="E16" s="97" t="n">
        <f aca="false">COUNTIFS('Daily Plan'!$B$5:$B$147,A16,'Daily Plan'!$K$5:$K$147,"Yes")+COUNTIFS('Daily Plan'!$B$5:$B$147,A16,'Daily Plan'!$K$5:$K$147,"Partial")</f>
        <v>0</v>
      </c>
      <c r="F16" s="99" t="n">
        <f aca="false">IFERROR(E16/D16,"")</f>
        <v>0</v>
      </c>
      <c r="G16" s="97" t="n">
        <f aca="false">SUMIFS('Daily Plan'!$I$5:$I$147,'Daily Plan'!$B$5:$B$147,A16,'Daily Plan'!$F$5:$F$147,"Run",'Daily Plan'!$J$5:$J$147,"min")</f>
        <v>180</v>
      </c>
      <c r="H16" s="97" t="n">
        <f aca="false">SUMIFS('Daily Plan'!$L$5:$L$147,'Daily Plan'!$B$5:$B$147,A16,'Daily Plan'!$F$5:$F$147,"Run")</f>
        <v>0</v>
      </c>
      <c r="I16" s="97" t="n">
        <v>90</v>
      </c>
      <c r="J16" s="97" t="n">
        <f aca="false">IFERROR(INDEX('Daily Plan'!$L$5:$L$147,MATCH(1,INDEX(('Daily Plan'!$B$5:$B$147=A16)*('Daily Plan'!$C$5:$C$147="Saturday")*('Daily Plan'!$F$5:$F$147="Run"),0),0)),"")</f>
        <v>0</v>
      </c>
      <c r="K16" s="100" t="str">
        <f aca="false">IFERROR(AVERAGEIFS('Daily Plan'!$N$5:$N$147,'Daily Plan'!$B$5:$B$147,A16,'Daily Plan'!$F$5:$F$147,"Run"),"")</f>
        <v/>
      </c>
      <c r="L16" s="100" t="str">
        <f aca="false">IFERROR(AVERAGEIFS('Daily Log'!$H$5:$H$106,'Daily Log'!$B$5:$B$106,A16),"")</f>
        <v/>
      </c>
      <c r="M16" s="100" t="str">
        <f aca="false">IFERROR(AVERAGEIFS('Daily Log'!$I$5:$I$106,'Daily Log'!$B$5:$B$106,A16),"")</f>
        <v/>
      </c>
      <c r="N16" s="97" t="str">
        <f aca="false">IF(COUNTIFS('Daily Log'!$B$5:$B$106,A16,'Daily Log'!$K$5:$K$106,"&gt;=0")=0,"",_xlfn.MAXIFS('Daily Log'!$K$5:$K$106,'Daily Log'!$B$5:$B$106,A16))</f>
        <v/>
      </c>
      <c r="O16" s="100" t="str">
        <f aca="false">IFERROR(AVERAGEIFS('Daily Log'!$M$5:$M$106,'Daily Log'!$B$5:$B$106,A16),"")</f>
        <v/>
      </c>
      <c r="P16" s="100" t="str">
        <f aca="false">IFERROR(AVERAGEIFS('Daily Log'!$N$5:$N$106,'Daily Log'!$B$5:$B$106,A16),"")</f>
        <v/>
      </c>
      <c r="Q16" s="100" t="str">
        <f aca="false">IFERROR(AVERAGEIFS('Daily Log'!$E$5:$E$106,'Daily Log'!$B$5:$B$106,A16),"")</f>
        <v/>
      </c>
      <c r="R16" s="101" t="str">
        <f aca="false">IF(OR(Q16="",Q15=""),"",Q16-Q15)</f>
        <v/>
      </c>
      <c r="S16" s="90"/>
      <c r="T16" s="90"/>
      <c r="U16" s="91"/>
      <c r="V16" s="97" t="str">
        <f aca="false">IF(E16=0,"",IF(OR(AND(N16&lt;&gt;"",N16&gt;=4),AND(F16&lt;&gt;"",F16&lt;0.6),AND(L16&lt;&gt;"",L16&lt;6)),"Red: step back",IF(OR(AND(F16&lt;&gt;"",F16&lt;0.85),AND(K16&lt;&gt;"",K16&gt;=5),AND(N16&lt;&gt;"",N16&gt;=3),AND(L16&lt;&gt;"",L16&lt;6.5),AND(O16&lt;&gt;"",O16&lt;3),AND(P16&lt;&gt;"",P16&lt;3)),"Amber: repeat the week","Green: progress")))</f>
        <v/>
      </c>
      <c r="W16" s="24"/>
    </row>
    <row r="17" customFormat="false" ht="15" hidden="false" customHeight="false" outlineLevel="0" collapsed="false">
      <c r="A17" s="102" t="n">
        <v>12</v>
      </c>
      <c r="B17" s="103" t="n">
        <v>46405</v>
      </c>
      <c r="C17" s="102" t="s">
        <v>57</v>
      </c>
      <c r="D17" s="102" t="n">
        <f aca="false">COUNTIFS('Daily Plan'!$B$5:$B$147,A17,'Daily Plan'!$F$5:$F$147,"&lt;&gt;Rest")</f>
        <v>10</v>
      </c>
      <c r="E17" s="102" t="n">
        <f aca="false">COUNTIFS('Daily Plan'!$B$5:$B$147,A17,'Daily Plan'!$K$5:$K$147,"Yes")+COUNTIFS('Daily Plan'!$B$5:$B$147,A17,'Daily Plan'!$K$5:$K$147,"Partial")</f>
        <v>0</v>
      </c>
      <c r="F17" s="104" t="n">
        <f aca="false">IFERROR(E17/D17,"")</f>
        <v>0</v>
      </c>
      <c r="G17" s="102" t="n">
        <f aca="false">SUMIFS('Daily Plan'!$I$5:$I$147,'Daily Plan'!$B$5:$B$147,A17,'Daily Plan'!$F$5:$F$147,"Run",'Daily Plan'!$J$5:$J$147,"min")</f>
        <v>245</v>
      </c>
      <c r="H17" s="102" t="n">
        <f aca="false">SUMIFS('Daily Plan'!$L$5:$L$147,'Daily Plan'!$B$5:$B$147,A17,'Daily Plan'!$F$5:$F$147,"Run")</f>
        <v>0</v>
      </c>
      <c r="I17" s="102" t="n">
        <v>150</v>
      </c>
      <c r="J17" s="102" t="n">
        <f aca="false">IFERROR(INDEX('Daily Plan'!$L$5:$L$147,MATCH(1,INDEX(('Daily Plan'!$B$5:$B$147=A17)*('Daily Plan'!$C$5:$C$147="Saturday")*('Daily Plan'!$F$5:$F$147="Run"),0),0)),"")</f>
        <v>0</v>
      </c>
      <c r="K17" s="105" t="str">
        <f aca="false">IFERROR(AVERAGEIFS('Daily Plan'!$N$5:$N$147,'Daily Plan'!$B$5:$B$147,A17,'Daily Plan'!$F$5:$F$147,"Run"),"")</f>
        <v/>
      </c>
      <c r="L17" s="105" t="str">
        <f aca="false">IFERROR(AVERAGEIFS('Daily Log'!$H$5:$H$106,'Daily Log'!$B$5:$B$106,A17),"")</f>
        <v/>
      </c>
      <c r="M17" s="105" t="str">
        <f aca="false">IFERROR(AVERAGEIFS('Daily Log'!$I$5:$I$106,'Daily Log'!$B$5:$B$106,A17),"")</f>
        <v/>
      </c>
      <c r="N17" s="102" t="str">
        <f aca="false">IF(COUNTIFS('Daily Log'!$B$5:$B$106,A17,'Daily Log'!$K$5:$K$106,"&gt;=0")=0,"",_xlfn.MAXIFS('Daily Log'!$K$5:$K$106,'Daily Log'!$B$5:$B$106,A17))</f>
        <v/>
      </c>
      <c r="O17" s="105" t="str">
        <f aca="false">IFERROR(AVERAGEIFS('Daily Log'!$M$5:$M$106,'Daily Log'!$B$5:$B$106,A17),"")</f>
        <v/>
      </c>
      <c r="P17" s="105" t="str">
        <f aca="false">IFERROR(AVERAGEIFS('Daily Log'!$N$5:$N$106,'Daily Log'!$B$5:$B$106,A17),"")</f>
        <v/>
      </c>
      <c r="Q17" s="105" t="str">
        <f aca="false">IFERROR(AVERAGEIFS('Daily Log'!$E$5:$E$106,'Daily Log'!$B$5:$B$106,A17),"")</f>
        <v/>
      </c>
      <c r="R17" s="106" t="str">
        <f aca="false">IF(OR(Q17="",Q16=""),"",Q17-Q16)</f>
        <v/>
      </c>
      <c r="S17" s="90"/>
      <c r="T17" s="90"/>
      <c r="U17" s="91"/>
      <c r="V17" s="102" t="str">
        <f aca="false">IF(E17=0,"",IF(OR(AND(N17&lt;&gt;"",N17&gt;=4),AND(F17&lt;&gt;"",F17&lt;0.6),AND(L17&lt;&gt;"",L17&lt;6)),"Red: step back",IF(OR(AND(F17&lt;&gt;"",F17&lt;0.85),AND(K17&lt;&gt;"",K17&gt;=5),AND(N17&lt;&gt;"",N17&gt;=3),AND(L17&lt;&gt;"",L17&lt;6.5),AND(O17&lt;&gt;"",O17&lt;3),AND(P17&lt;&gt;"",P17&lt;3)),"Amber: repeat the week","Green: progress")))</f>
        <v/>
      </c>
      <c r="W17" s="24"/>
    </row>
    <row r="18" customFormat="false" ht="15" hidden="false" customHeight="false" outlineLevel="0" collapsed="false">
      <c r="A18" s="107" t="n">
        <v>13</v>
      </c>
      <c r="B18" s="108" t="n">
        <v>46412</v>
      </c>
      <c r="C18" s="107" t="s">
        <v>225</v>
      </c>
      <c r="D18" s="107" t="n">
        <f aca="false">COUNTIFS('Daily Plan'!$B$5:$B$147,A18,'Daily Plan'!$F$5:$F$147,"&lt;&gt;Rest")</f>
        <v>9</v>
      </c>
      <c r="E18" s="107" t="n">
        <f aca="false">COUNTIFS('Daily Plan'!$B$5:$B$147,A18,'Daily Plan'!$K$5:$K$147,"Yes")+COUNTIFS('Daily Plan'!$B$5:$B$147,A18,'Daily Plan'!$K$5:$K$147,"Partial")</f>
        <v>0</v>
      </c>
      <c r="F18" s="109" t="n">
        <f aca="false">IFERROR(E18/D18,"")</f>
        <v>0</v>
      </c>
      <c r="G18" s="107" t="n">
        <f aca="false">SUMIFS('Daily Plan'!$I$5:$I$147,'Daily Plan'!$B$5:$B$147,A18,'Daily Plan'!$F$5:$F$147,"Run",'Daily Plan'!$J$5:$J$147,"min")</f>
        <v>175</v>
      </c>
      <c r="H18" s="107" t="n">
        <f aca="false">SUMIFS('Daily Plan'!$L$5:$L$147,'Daily Plan'!$B$5:$B$147,A18,'Daily Plan'!$F$5:$F$147,"Run")</f>
        <v>0</v>
      </c>
      <c r="I18" s="107" t="n">
        <v>90</v>
      </c>
      <c r="J18" s="107" t="n">
        <f aca="false">IFERROR(INDEX('Daily Plan'!$L$5:$L$147,MATCH(1,INDEX(('Daily Plan'!$B$5:$B$147=A18)*('Daily Plan'!$C$5:$C$147="Saturday")*('Daily Plan'!$F$5:$F$147="Run"),0),0)),"")</f>
        <v>0</v>
      </c>
      <c r="K18" s="110" t="str">
        <f aca="false">IFERROR(AVERAGEIFS('Daily Plan'!$N$5:$N$147,'Daily Plan'!$B$5:$B$147,A18,'Daily Plan'!$F$5:$F$147,"Run"),"")</f>
        <v/>
      </c>
      <c r="L18" s="110" t="str">
        <f aca="false">IFERROR(AVERAGEIFS('Daily Log'!$H$5:$H$106,'Daily Log'!$B$5:$B$106,A18),"")</f>
        <v/>
      </c>
      <c r="M18" s="110" t="str">
        <f aca="false">IFERROR(AVERAGEIFS('Daily Log'!$I$5:$I$106,'Daily Log'!$B$5:$B$106,A18),"")</f>
        <v/>
      </c>
      <c r="N18" s="107" t="str">
        <f aca="false">IF(COUNTIFS('Daily Log'!$B$5:$B$106,A18,'Daily Log'!$K$5:$K$106,"&gt;=0")=0,"",_xlfn.MAXIFS('Daily Log'!$K$5:$K$106,'Daily Log'!$B$5:$B$106,A18))</f>
        <v/>
      </c>
      <c r="O18" s="110" t="str">
        <f aca="false">IFERROR(AVERAGEIFS('Daily Log'!$M$5:$M$106,'Daily Log'!$B$5:$B$106,A18),"")</f>
        <v/>
      </c>
      <c r="P18" s="110" t="str">
        <f aca="false">IFERROR(AVERAGEIFS('Daily Log'!$N$5:$N$106,'Daily Log'!$B$5:$B$106,A18),"")</f>
        <v/>
      </c>
      <c r="Q18" s="110" t="str">
        <f aca="false">IFERROR(AVERAGEIFS('Daily Log'!$E$5:$E$106,'Daily Log'!$B$5:$B$106,A18),"")</f>
        <v/>
      </c>
      <c r="R18" s="111" t="str">
        <f aca="false">IF(OR(Q18="",Q17=""),"",Q18-Q17)</f>
        <v/>
      </c>
      <c r="S18" s="90"/>
      <c r="T18" s="90"/>
      <c r="U18" s="91"/>
      <c r="V18" s="107" t="str">
        <f aca="false">IF(E18=0,"",IF(OR(AND(N18&lt;&gt;"",N18&gt;=4),AND(F18&lt;&gt;"",F18&lt;0.6),AND(L18&lt;&gt;"",L18&lt;6)),"Red: step back",IF(OR(AND(F18&lt;&gt;"",F18&lt;0.85),AND(K18&lt;&gt;"",K18&gt;=5),AND(N18&lt;&gt;"",N18&gt;=3),AND(L18&lt;&gt;"",L18&lt;6.5),AND(O18&lt;&gt;"",O18&lt;3),AND(P18&lt;&gt;"",P18&lt;3)),"Amber: repeat the week","Green: progress")))</f>
        <v/>
      </c>
      <c r="W18" s="24"/>
    </row>
    <row r="19" customFormat="false" ht="15" hidden="false" customHeight="false" outlineLevel="0" collapsed="false">
      <c r="A19" s="112" t="n">
        <v>14</v>
      </c>
      <c r="B19" s="113" t="n">
        <v>46419</v>
      </c>
      <c r="C19" s="112" t="s">
        <v>235</v>
      </c>
      <c r="D19" s="112" t="n">
        <f aca="false">COUNTIFS('Daily Plan'!$B$5:$B$147,A19,'Daily Plan'!$F$5:$F$147,"&lt;&gt;Rest")</f>
        <v>8</v>
      </c>
      <c r="E19" s="112" t="n">
        <f aca="false">COUNTIFS('Daily Plan'!$B$5:$B$147,A19,'Daily Plan'!$K$5:$K$147,"Yes")+COUNTIFS('Daily Plan'!$B$5:$B$147,A19,'Daily Plan'!$K$5:$K$147,"Partial")</f>
        <v>0</v>
      </c>
      <c r="F19" s="114" t="n">
        <f aca="false">IFERROR(E19/D19,"")</f>
        <v>0</v>
      </c>
      <c r="G19" s="112" t="n">
        <f aca="false">SUMIFS('Daily Plan'!$I$5:$I$147,'Daily Plan'!$B$5:$B$147,A19,'Daily Plan'!$F$5:$F$147,"Run",'Daily Plan'!$J$5:$J$147,"min")</f>
        <v>50</v>
      </c>
      <c r="H19" s="112" t="n">
        <f aca="false">SUMIFS('Daily Plan'!$L$5:$L$147,'Daily Plan'!$B$5:$B$147,A19,'Daily Plan'!$F$5:$F$147,"Run")</f>
        <v>0</v>
      </c>
      <c r="I19" s="112"/>
      <c r="J19" s="112" t="str">
        <f aca="false">IFERROR(INDEX('Daily Plan'!$L$5:$L$147,MATCH(1,INDEX(('Daily Plan'!$B$5:$B$147=A19)*('Daily Plan'!$C$5:$C$147="Saturday")*('Daily Plan'!$F$5:$F$147="Run"),0),0)),"")</f>
        <v/>
      </c>
      <c r="K19" s="115" t="str">
        <f aca="false">IFERROR(AVERAGEIFS('Daily Plan'!$N$5:$N$147,'Daily Plan'!$B$5:$B$147,A19,'Daily Plan'!$F$5:$F$147,"Run"),"")</f>
        <v/>
      </c>
      <c r="L19" s="115" t="str">
        <f aca="false">IFERROR(AVERAGEIFS('Daily Log'!$H$5:$H$106,'Daily Log'!$B$5:$B$106,A19),"")</f>
        <v/>
      </c>
      <c r="M19" s="115" t="str">
        <f aca="false">IFERROR(AVERAGEIFS('Daily Log'!$I$5:$I$106,'Daily Log'!$B$5:$B$106,A19),"")</f>
        <v/>
      </c>
      <c r="N19" s="112" t="str">
        <f aca="false">IF(COUNTIFS('Daily Log'!$B$5:$B$106,A19,'Daily Log'!$K$5:$K$106,"&gt;=0")=0,"",_xlfn.MAXIFS('Daily Log'!$K$5:$K$106,'Daily Log'!$B$5:$B$106,A19))</f>
        <v/>
      </c>
      <c r="O19" s="115" t="str">
        <f aca="false">IFERROR(AVERAGEIFS('Daily Log'!$M$5:$M$106,'Daily Log'!$B$5:$B$106,A19),"")</f>
        <v/>
      </c>
      <c r="P19" s="115" t="str">
        <f aca="false">IFERROR(AVERAGEIFS('Daily Log'!$N$5:$N$106,'Daily Log'!$B$5:$B$106,A19),"")</f>
        <v/>
      </c>
      <c r="Q19" s="115" t="str">
        <f aca="false">IFERROR(AVERAGEIFS('Daily Log'!$E$5:$E$106,'Daily Log'!$B$5:$B$106,A19),"")</f>
        <v/>
      </c>
      <c r="R19" s="116" t="str">
        <f aca="false">IF(OR(Q19="",Q18=""),"",Q19-Q18)</f>
        <v/>
      </c>
      <c r="S19" s="90"/>
      <c r="T19" s="90"/>
      <c r="U19" s="91"/>
      <c r="V19" s="112" t="str">
        <f aca="false">IF(E19=0,"",IF(OR(AND(N19&lt;&gt;"",N19&gt;=4),AND(F19&lt;&gt;"",F19&lt;0.6),AND(L19&lt;&gt;"",L19&lt;6)),"Red: step back",IF(OR(AND(F19&lt;&gt;"",F19&lt;0.85),AND(K19&lt;&gt;"",K19&gt;=5),AND(N19&lt;&gt;"",N19&gt;=3),AND(L19&lt;&gt;"",L19&lt;6.5),AND(O19&lt;&gt;"",O19&lt;3),AND(P19&lt;&gt;"",P19&lt;3)),"Amber: repeat the week","Green: progress")))</f>
        <v/>
      </c>
      <c r="W19" s="24"/>
    </row>
    <row r="21" customFormat="false" ht="15" hidden="false" customHeight="false" outlineLevel="0" collapsed="false">
      <c r="A21" s="117" t="s">
        <v>291</v>
      </c>
    </row>
  </sheetData>
  <conditionalFormatting sqref="V5:V19">
    <cfRule type="expression" priority="2" aboveAverage="0" equalAverage="0" bottom="0" percent="0" rank="0" text="" dxfId="0">
      <formula>LEFT($V5,5)="Green"</formula>
    </cfRule>
    <cfRule type="expression" priority="3" aboveAverage="0" equalAverage="0" bottom="0" percent="0" rank="0" text="" dxfId="1">
      <formula>LEFT($V5,5)="Amber"</formula>
    </cfRule>
    <cfRule type="expression" priority="4" aboveAverage="0" equalAverage="0" bottom="0" percent="0" rank="0" text="" dxfId="2">
      <formula>LEFT($V5,3)="Red"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8"/>
    <col collapsed="false" customWidth="true" hidden="false" outlineLevel="0" max="9" min="7" style="0" width="9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60"/>
  </cols>
  <sheetData>
    <row r="1" customFormat="false" ht="18.5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23.85" hidden="false" customHeight="false" outlineLevel="0" collapsed="false">
      <c r="A4" s="18" t="s">
        <v>83</v>
      </c>
      <c r="B4" s="18" t="s">
        <v>273</v>
      </c>
      <c r="C4" s="18" t="s">
        <v>41</v>
      </c>
      <c r="D4" s="18" t="s">
        <v>294</v>
      </c>
      <c r="E4" s="18" t="s">
        <v>295</v>
      </c>
      <c r="F4" s="18" t="s">
        <v>296</v>
      </c>
      <c r="G4" s="18" t="s">
        <v>297</v>
      </c>
      <c r="H4" s="18" t="s">
        <v>298</v>
      </c>
      <c r="I4" s="18" t="s">
        <v>299</v>
      </c>
      <c r="J4" s="18" t="s">
        <v>122</v>
      </c>
      <c r="K4" s="18" t="s">
        <v>300</v>
      </c>
      <c r="L4" s="18" t="s">
        <v>301</v>
      </c>
    </row>
    <row r="5" customFormat="false" ht="15" hidden="false" customHeight="false" outlineLevel="0" collapsed="false">
      <c r="A5" s="21" t="n">
        <v>0</v>
      </c>
      <c r="B5" s="118" t="n">
        <v>46324</v>
      </c>
      <c r="C5" s="21" t="s">
        <v>97</v>
      </c>
      <c r="D5" s="21" t="s">
        <v>302</v>
      </c>
      <c r="E5" s="21" t="n">
        <v>0</v>
      </c>
      <c r="F5" s="21" t="n">
        <v>30</v>
      </c>
      <c r="G5" s="21" t="n">
        <v>40</v>
      </c>
      <c r="H5" s="21" t="n">
        <f aca="false">0+30+40</f>
        <v>70</v>
      </c>
      <c r="I5" s="21" t="n">
        <v>3</v>
      </c>
      <c r="J5" s="21" t="n">
        <v>0</v>
      </c>
      <c r="K5" s="21" t="s">
        <v>303</v>
      </c>
      <c r="L5" s="21" t="s">
        <v>304</v>
      </c>
    </row>
    <row r="6" customFormat="false" ht="15" hidden="false" customHeight="false" outlineLevel="0" collapsed="false">
      <c r="A6" s="21" t="n">
        <v>1</v>
      </c>
      <c r="B6" s="118" t="n">
        <v>46328</v>
      </c>
      <c r="C6" s="21" t="s">
        <v>97</v>
      </c>
      <c r="D6" s="21" t="s">
        <v>302</v>
      </c>
      <c r="E6" s="21" t="n">
        <v>30</v>
      </c>
      <c r="F6" s="21" t="n">
        <v>30</v>
      </c>
      <c r="G6" s="21" t="n">
        <v>45</v>
      </c>
      <c r="H6" s="21" t="n">
        <f aca="false">30+30+45</f>
        <v>105</v>
      </c>
      <c r="I6" s="21" t="n">
        <v>4</v>
      </c>
      <c r="J6" s="21" t="n">
        <v>2</v>
      </c>
      <c r="K6" s="21" t="s">
        <v>305</v>
      </c>
      <c r="L6" s="21" t="s">
        <v>306</v>
      </c>
    </row>
    <row r="7" customFormat="false" ht="15" hidden="false" customHeight="false" outlineLevel="0" collapsed="false">
      <c r="A7" s="21" t="n">
        <v>2</v>
      </c>
      <c r="B7" s="118" t="n">
        <v>46335</v>
      </c>
      <c r="C7" s="21" t="s">
        <v>97</v>
      </c>
      <c r="D7" s="21" t="s">
        <v>307</v>
      </c>
      <c r="E7" s="21" t="n">
        <v>35</v>
      </c>
      <c r="F7" s="21" t="n">
        <v>30</v>
      </c>
      <c r="G7" s="21" t="n">
        <v>50</v>
      </c>
      <c r="H7" s="21" t="n">
        <f aca="false">35+30+50</f>
        <v>115</v>
      </c>
      <c r="I7" s="21" t="n">
        <v>5</v>
      </c>
      <c r="J7" s="21" t="n">
        <v>2</v>
      </c>
      <c r="K7" s="21" t="s">
        <v>308</v>
      </c>
      <c r="L7" s="21" t="s">
        <v>309</v>
      </c>
    </row>
    <row r="8" customFormat="false" ht="15" hidden="false" customHeight="false" outlineLevel="0" collapsed="false">
      <c r="A8" s="21" t="n">
        <v>3</v>
      </c>
      <c r="B8" s="118" t="n">
        <v>46342</v>
      </c>
      <c r="C8" s="21" t="s">
        <v>97</v>
      </c>
      <c r="D8" s="21" t="s">
        <v>310</v>
      </c>
      <c r="E8" s="21" t="n">
        <v>35</v>
      </c>
      <c r="F8" s="21" t="n">
        <v>35</v>
      </c>
      <c r="G8" s="21" t="n">
        <v>60</v>
      </c>
      <c r="H8" s="21" t="n">
        <f aca="false">35+35+60</f>
        <v>130</v>
      </c>
      <c r="I8" s="21" t="n">
        <v>6</v>
      </c>
      <c r="J8" s="21" t="n">
        <v>2</v>
      </c>
      <c r="K8" s="21" t="s">
        <v>311</v>
      </c>
      <c r="L8" s="21" t="s">
        <v>312</v>
      </c>
    </row>
    <row r="9" customFormat="false" ht="23.85" hidden="false" customHeight="false" outlineLevel="0" collapsed="false">
      <c r="A9" s="21" t="n">
        <v>4</v>
      </c>
      <c r="B9" s="118" t="n">
        <v>46349</v>
      </c>
      <c r="C9" s="21" t="s">
        <v>97</v>
      </c>
      <c r="D9" s="21" t="s">
        <v>310</v>
      </c>
      <c r="E9" s="21" t="n">
        <v>25</v>
      </c>
      <c r="F9" s="21" t="s">
        <v>155</v>
      </c>
      <c r="G9" s="21" t="n">
        <v>45</v>
      </c>
      <c r="H9" s="21" t="n">
        <f aca="false">25+50+45</f>
        <v>120</v>
      </c>
      <c r="I9" s="21" t="n">
        <v>4</v>
      </c>
      <c r="J9" s="21" t="n">
        <v>2</v>
      </c>
      <c r="K9" s="21" t="s">
        <v>313</v>
      </c>
      <c r="L9" s="21" t="s">
        <v>314</v>
      </c>
    </row>
    <row r="10" customFormat="false" ht="15" hidden="false" customHeight="false" outlineLevel="0" collapsed="false">
      <c r="A10" s="32" t="n">
        <v>5</v>
      </c>
      <c r="B10" s="119" t="n">
        <v>46356</v>
      </c>
      <c r="C10" s="32" t="s">
        <v>49</v>
      </c>
      <c r="D10" s="32" t="s">
        <v>315</v>
      </c>
      <c r="E10" s="32" t="n">
        <v>40</v>
      </c>
      <c r="F10" s="32" t="n">
        <v>35</v>
      </c>
      <c r="G10" s="32" t="n">
        <v>70</v>
      </c>
      <c r="H10" s="32" t="n">
        <f aca="false">40+35+70</f>
        <v>145</v>
      </c>
      <c r="I10" s="32" t="n">
        <v>7</v>
      </c>
      <c r="J10" s="32" t="n">
        <v>2</v>
      </c>
      <c r="K10" s="32" t="s">
        <v>316</v>
      </c>
      <c r="L10" s="32" t="s">
        <v>317</v>
      </c>
    </row>
    <row r="11" customFormat="false" ht="15" hidden="false" customHeight="false" outlineLevel="0" collapsed="false">
      <c r="A11" s="32" t="n">
        <v>6</v>
      </c>
      <c r="B11" s="119" t="n">
        <v>46363</v>
      </c>
      <c r="C11" s="32" t="s">
        <v>49</v>
      </c>
      <c r="D11" s="32" t="s">
        <v>318</v>
      </c>
      <c r="E11" s="32" t="n">
        <v>40</v>
      </c>
      <c r="F11" s="32" t="n">
        <v>40</v>
      </c>
      <c r="G11" s="32" t="n">
        <v>80</v>
      </c>
      <c r="H11" s="32" t="n">
        <f aca="false">40+40+80</f>
        <v>160</v>
      </c>
      <c r="I11" s="32" t="n">
        <v>8</v>
      </c>
      <c r="J11" s="32" t="n">
        <v>2</v>
      </c>
      <c r="K11" s="32" t="s">
        <v>319</v>
      </c>
      <c r="L11" s="32" t="s">
        <v>320</v>
      </c>
    </row>
    <row r="12" customFormat="false" ht="15" hidden="false" customHeight="false" outlineLevel="0" collapsed="false">
      <c r="A12" s="32" t="n">
        <v>7</v>
      </c>
      <c r="B12" s="119" t="n">
        <v>46370</v>
      </c>
      <c r="C12" s="32" t="s">
        <v>49</v>
      </c>
      <c r="D12" s="32" t="s">
        <v>318</v>
      </c>
      <c r="E12" s="32" t="n">
        <v>45</v>
      </c>
      <c r="F12" s="32" t="n">
        <v>40</v>
      </c>
      <c r="G12" s="32" t="n">
        <v>90</v>
      </c>
      <c r="H12" s="32" t="n">
        <f aca="false">45+40+90</f>
        <v>175</v>
      </c>
      <c r="I12" s="32" t="n">
        <v>9</v>
      </c>
      <c r="J12" s="32" t="n">
        <v>2</v>
      </c>
      <c r="K12" s="32" t="s">
        <v>321</v>
      </c>
      <c r="L12" s="32" t="s">
        <v>322</v>
      </c>
    </row>
    <row r="13" customFormat="false" ht="23.85" hidden="false" customHeight="false" outlineLevel="0" collapsed="false">
      <c r="A13" s="32" t="n">
        <v>8</v>
      </c>
      <c r="B13" s="119" t="n">
        <v>46377</v>
      </c>
      <c r="C13" s="32" t="s">
        <v>49</v>
      </c>
      <c r="D13" s="32" t="s">
        <v>323</v>
      </c>
      <c r="E13" s="32" t="n">
        <v>35</v>
      </c>
      <c r="F13" s="32" t="s">
        <v>155</v>
      </c>
      <c r="G13" s="32" t="n">
        <v>70</v>
      </c>
      <c r="H13" s="32" t="n">
        <f aca="false">35+50+70</f>
        <v>155</v>
      </c>
      <c r="I13" s="32" t="n">
        <v>7</v>
      </c>
      <c r="J13" s="32" t="n">
        <v>2</v>
      </c>
      <c r="K13" s="32" t="s">
        <v>324</v>
      </c>
      <c r="L13" s="32" t="s">
        <v>325</v>
      </c>
    </row>
    <row r="14" customFormat="false" ht="23.85" hidden="false" customHeight="false" outlineLevel="0" collapsed="false">
      <c r="A14" s="42" t="n">
        <v>9</v>
      </c>
      <c r="B14" s="120" t="n">
        <v>46384</v>
      </c>
      <c r="C14" s="42" t="s">
        <v>53</v>
      </c>
      <c r="D14" s="42" t="s">
        <v>323</v>
      </c>
      <c r="E14" s="42" t="n">
        <v>45</v>
      </c>
      <c r="F14" s="42" t="n">
        <v>45</v>
      </c>
      <c r="G14" s="42" t="n">
        <v>105</v>
      </c>
      <c r="H14" s="42" t="n">
        <f aca="false">45+45+105</f>
        <v>195</v>
      </c>
      <c r="I14" s="42" t="n">
        <v>11</v>
      </c>
      <c r="J14" s="42" t="n">
        <v>2</v>
      </c>
      <c r="K14" s="42" t="s">
        <v>326</v>
      </c>
      <c r="L14" s="42" t="s">
        <v>327</v>
      </c>
    </row>
    <row r="15" customFormat="false" ht="23.85" hidden="false" customHeight="false" outlineLevel="0" collapsed="false">
      <c r="A15" s="42" t="n">
        <v>10</v>
      </c>
      <c r="B15" s="120" t="n">
        <v>46391</v>
      </c>
      <c r="C15" s="42" t="s">
        <v>53</v>
      </c>
      <c r="D15" s="42" t="s">
        <v>328</v>
      </c>
      <c r="E15" s="42" t="n">
        <v>50</v>
      </c>
      <c r="F15" s="42" t="n">
        <v>45</v>
      </c>
      <c r="G15" s="42" t="n">
        <v>120</v>
      </c>
      <c r="H15" s="42" t="n">
        <f aca="false">50+45+120</f>
        <v>215</v>
      </c>
      <c r="I15" s="42" t="n">
        <v>12</v>
      </c>
      <c r="J15" s="42" t="n">
        <v>2</v>
      </c>
      <c r="K15" s="42" t="s">
        <v>329</v>
      </c>
      <c r="L15" s="42" t="s">
        <v>330</v>
      </c>
    </row>
    <row r="16" customFormat="false" ht="23.85" hidden="false" customHeight="false" outlineLevel="0" collapsed="false">
      <c r="A16" s="42" t="n">
        <v>11</v>
      </c>
      <c r="B16" s="120" t="n">
        <v>46398</v>
      </c>
      <c r="C16" s="42" t="s">
        <v>53</v>
      </c>
      <c r="D16" s="42" t="s">
        <v>328</v>
      </c>
      <c r="E16" s="42" t="s">
        <v>155</v>
      </c>
      <c r="F16" s="42" t="n">
        <v>40</v>
      </c>
      <c r="G16" s="42" t="n">
        <v>90</v>
      </c>
      <c r="H16" s="42" t="n">
        <f aca="false">50+40+90</f>
        <v>180</v>
      </c>
      <c r="I16" s="42" t="n">
        <v>9</v>
      </c>
      <c r="J16" s="42" t="n">
        <v>2</v>
      </c>
      <c r="K16" s="42" t="s">
        <v>331</v>
      </c>
      <c r="L16" s="42" t="s">
        <v>332</v>
      </c>
    </row>
    <row r="17" customFormat="false" ht="23.85" hidden="false" customHeight="false" outlineLevel="0" collapsed="false">
      <c r="A17" s="52" t="n">
        <v>12</v>
      </c>
      <c r="B17" s="121" t="n">
        <v>46405</v>
      </c>
      <c r="C17" s="52" t="s">
        <v>57</v>
      </c>
      <c r="D17" s="52" t="s">
        <v>333</v>
      </c>
      <c r="E17" s="52" t="n">
        <v>50</v>
      </c>
      <c r="F17" s="52" t="n">
        <v>45</v>
      </c>
      <c r="G17" s="52" t="n">
        <v>150</v>
      </c>
      <c r="H17" s="52" t="n">
        <f aca="false">50+45+150</f>
        <v>245</v>
      </c>
      <c r="I17" s="52" t="n">
        <v>16</v>
      </c>
      <c r="J17" s="52" t="n">
        <v>2</v>
      </c>
      <c r="K17" s="52" t="s">
        <v>334</v>
      </c>
      <c r="L17" s="52" t="s">
        <v>335</v>
      </c>
    </row>
    <row r="18" customFormat="false" ht="23.85" hidden="false" customHeight="false" outlineLevel="0" collapsed="false">
      <c r="A18" s="62" t="n">
        <v>13</v>
      </c>
      <c r="B18" s="122" t="n">
        <v>46412</v>
      </c>
      <c r="C18" s="62" t="s">
        <v>225</v>
      </c>
      <c r="D18" s="62" t="s">
        <v>333</v>
      </c>
      <c r="E18" s="62" t="n">
        <v>45</v>
      </c>
      <c r="F18" s="62" t="n">
        <v>40</v>
      </c>
      <c r="G18" s="62" t="n">
        <v>90</v>
      </c>
      <c r="H18" s="62" t="n">
        <f aca="false">45+40+90</f>
        <v>175</v>
      </c>
      <c r="I18" s="62" t="n">
        <v>10</v>
      </c>
      <c r="J18" s="62" t="n">
        <v>1</v>
      </c>
      <c r="K18" s="62" t="s">
        <v>336</v>
      </c>
      <c r="L18" s="62" t="s">
        <v>337</v>
      </c>
    </row>
    <row r="19" customFormat="false" ht="15" hidden="false" customHeight="false" outlineLevel="0" collapsed="false">
      <c r="A19" s="72" t="n">
        <v>14</v>
      </c>
      <c r="B19" s="123" t="n">
        <v>46419</v>
      </c>
      <c r="C19" s="72" t="s">
        <v>235</v>
      </c>
      <c r="D19" s="72" t="s">
        <v>333</v>
      </c>
      <c r="E19" s="72" t="n">
        <v>30</v>
      </c>
      <c r="F19" s="72" t="n">
        <v>20</v>
      </c>
      <c r="G19" s="72" t="s">
        <v>338</v>
      </c>
      <c r="H19" s="72" t="n">
        <f aca="false">30+20+0</f>
        <v>50</v>
      </c>
      <c r="I19" s="72" t="n">
        <v>21.1</v>
      </c>
      <c r="J19" s="72" t="n">
        <v>1</v>
      </c>
      <c r="K19" s="72" t="s">
        <v>339</v>
      </c>
      <c r="L19" s="72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55"/>
    <col collapsed="false" customWidth="true" hidden="false" outlineLevel="0" max="6" min="6" style="0" width="45"/>
  </cols>
  <sheetData>
    <row r="1" customFormat="false" ht="18.5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4" customFormat="false" ht="15" hidden="false" customHeight="false" outlineLevel="0" collapsed="false">
      <c r="A4" s="18" t="s">
        <v>87</v>
      </c>
      <c r="B4" s="18" t="s">
        <v>343</v>
      </c>
      <c r="C4" s="18" t="s">
        <v>344</v>
      </c>
      <c r="D4" s="18" t="s">
        <v>246</v>
      </c>
      <c r="E4" s="18" t="s">
        <v>345</v>
      </c>
      <c r="F4" s="18" t="s">
        <v>346</v>
      </c>
    </row>
    <row r="5" customFormat="false" ht="15" hidden="false" customHeight="false" outlineLevel="0" collapsed="false">
      <c r="A5" s="19" t="s">
        <v>347</v>
      </c>
      <c r="B5" s="19" t="s">
        <v>348</v>
      </c>
      <c r="C5" s="19" t="s">
        <v>349</v>
      </c>
      <c r="D5" s="19" t="s">
        <v>350</v>
      </c>
      <c r="E5" s="19" t="s">
        <v>351</v>
      </c>
      <c r="F5" s="19" t="s">
        <v>352</v>
      </c>
    </row>
    <row r="6" customFormat="false" ht="15" hidden="false" customHeight="false" outlineLevel="0" collapsed="false">
      <c r="A6" s="19" t="s">
        <v>347</v>
      </c>
      <c r="B6" s="19" t="s">
        <v>353</v>
      </c>
      <c r="C6" s="19" t="s">
        <v>354</v>
      </c>
      <c r="D6" s="19" t="s">
        <v>355</v>
      </c>
      <c r="E6" s="19" t="s">
        <v>356</v>
      </c>
      <c r="F6" s="19" t="s">
        <v>357</v>
      </c>
    </row>
    <row r="7" customFormat="false" ht="15" hidden="false" customHeight="false" outlineLevel="0" collapsed="false">
      <c r="A7" s="19" t="s">
        <v>347</v>
      </c>
      <c r="B7" s="19" t="s">
        <v>358</v>
      </c>
      <c r="C7" s="19" t="s">
        <v>359</v>
      </c>
      <c r="D7" s="19" t="s">
        <v>350</v>
      </c>
      <c r="E7" s="19" t="s">
        <v>360</v>
      </c>
      <c r="F7" s="19" t="s">
        <v>361</v>
      </c>
    </row>
    <row r="8" customFormat="false" ht="23.85" hidden="false" customHeight="false" outlineLevel="0" collapsed="false">
      <c r="A8" s="19" t="s">
        <v>347</v>
      </c>
      <c r="B8" s="19" t="s">
        <v>362</v>
      </c>
      <c r="C8" s="19" t="s">
        <v>363</v>
      </c>
      <c r="D8" s="19" t="s">
        <v>355</v>
      </c>
      <c r="E8" s="19" t="s">
        <v>364</v>
      </c>
      <c r="F8" s="19" t="s">
        <v>365</v>
      </c>
    </row>
    <row r="9" customFormat="false" ht="15" hidden="false" customHeight="false" outlineLevel="0" collapsed="false">
      <c r="A9" s="19" t="s">
        <v>347</v>
      </c>
      <c r="B9" s="19" t="s">
        <v>366</v>
      </c>
      <c r="C9" s="19" t="s">
        <v>367</v>
      </c>
      <c r="D9" s="19" t="s">
        <v>368</v>
      </c>
      <c r="E9" s="19" t="s">
        <v>369</v>
      </c>
      <c r="F9" s="19" t="s">
        <v>370</v>
      </c>
    </row>
    <row r="10" customFormat="false" ht="15" hidden="false" customHeight="false" outlineLevel="0" collapsed="false">
      <c r="A10" s="19" t="s">
        <v>347</v>
      </c>
      <c r="B10" s="19" t="s">
        <v>371</v>
      </c>
      <c r="C10" s="19" t="s">
        <v>372</v>
      </c>
      <c r="D10" s="19" t="s">
        <v>373</v>
      </c>
      <c r="E10" s="19" t="s">
        <v>374</v>
      </c>
      <c r="F10" s="19" t="s">
        <v>375</v>
      </c>
    </row>
    <row r="11" customFormat="false" ht="15" hidden="false" customHeight="false" outlineLevel="0" collapsed="false">
      <c r="A11" s="19" t="s">
        <v>347</v>
      </c>
      <c r="B11" s="19" t="s">
        <v>376</v>
      </c>
      <c r="C11" s="19" t="s">
        <v>377</v>
      </c>
      <c r="D11" s="19" t="s">
        <v>373</v>
      </c>
      <c r="E11" s="19" t="s">
        <v>378</v>
      </c>
      <c r="F11" s="19" t="s">
        <v>379</v>
      </c>
    </row>
    <row r="12" customFormat="false" ht="23.85" hidden="false" customHeight="false" outlineLevel="0" collapsed="false">
      <c r="A12" s="19" t="s">
        <v>347</v>
      </c>
      <c r="B12" s="19" t="s">
        <v>380</v>
      </c>
      <c r="C12" s="19" t="s">
        <v>381</v>
      </c>
      <c r="D12" s="19" t="s">
        <v>373</v>
      </c>
      <c r="E12" s="19" t="s">
        <v>382</v>
      </c>
      <c r="F12" s="19" t="s">
        <v>383</v>
      </c>
    </row>
    <row r="13" customFormat="false" ht="15" hidden="false" customHeight="false" outlineLevel="0" collapsed="false">
      <c r="A13" s="19" t="s">
        <v>347</v>
      </c>
      <c r="B13" s="19" t="s">
        <v>384</v>
      </c>
      <c r="C13" s="19" t="s">
        <v>385</v>
      </c>
      <c r="D13" s="19" t="s">
        <v>270</v>
      </c>
      <c r="E13" s="19" t="s">
        <v>386</v>
      </c>
      <c r="F13" s="19" t="s">
        <v>387</v>
      </c>
    </row>
    <row r="14" customFormat="false" ht="15" hidden="false" customHeight="false" outlineLevel="0" collapsed="false">
      <c r="A14" s="19" t="s">
        <v>388</v>
      </c>
      <c r="B14" s="19" t="s">
        <v>389</v>
      </c>
      <c r="C14" s="19" t="s">
        <v>349</v>
      </c>
      <c r="D14" s="19" t="s">
        <v>355</v>
      </c>
      <c r="E14" s="19" t="s">
        <v>390</v>
      </c>
      <c r="F14" s="19" t="s">
        <v>391</v>
      </c>
    </row>
    <row r="15" customFormat="false" ht="15" hidden="false" customHeight="false" outlineLevel="0" collapsed="false">
      <c r="A15" s="19" t="s">
        <v>388</v>
      </c>
      <c r="B15" s="19" t="s">
        <v>392</v>
      </c>
      <c r="C15" s="19" t="s">
        <v>354</v>
      </c>
      <c r="D15" s="19" t="s">
        <v>355</v>
      </c>
      <c r="E15" s="19" t="s">
        <v>393</v>
      </c>
      <c r="F15" s="19" t="s">
        <v>394</v>
      </c>
    </row>
    <row r="16" customFormat="false" ht="15" hidden="false" customHeight="false" outlineLevel="0" collapsed="false">
      <c r="A16" s="19" t="s">
        <v>388</v>
      </c>
      <c r="B16" s="19" t="s">
        <v>395</v>
      </c>
      <c r="C16" s="19" t="s">
        <v>396</v>
      </c>
      <c r="D16" s="19" t="s">
        <v>355</v>
      </c>
      <c r="E16" s="19" t="s">
        <v>397</v>
      </c>
      <c r="F16" s="19" t="s">
        <v>398</v>
      </c>
    </row>
    <row r="17" customFormat="false" ht="15" hidden="false" customHeight="false" outlineLevel="0" collapsed="false">
      <c r="A17" s="19" t="s">
        <v>388</v>
      </c>
      <c r="B17" s="19" t="s">
        <v>399</v>
      </c>
      <c r="C17" s="19" t="s">
        <v>400</v>
      </c>
      <c r="D17" s="19" t="s">
        <v>401</v>
      </c>
      <c r="E17" s="19" t="s">
        <v>402</v>
      </c>
      <c r="F17" s="19" t="s">
        <v>403</v>
      </c>
    </row>
    <row r="18" customFormat="false" ht="15" hidden="false" customHeight="false" outlineLevel="0" collapsed="false">
      <c r="A18" s="19" t="s">
        <v>388</v>
      </c>
      <c r="B18" s="19" t="s">
        <v>404</v>
      </c>
      <c r="C18" s="19" t="s">
        <v>405</v>
      </c>
      <c r="D18" s="19" t="s">
        <v>373</v>
      </c>
      <c r="E18" s="19" t="s">
        <v>406</v>
      </c>
      <c r="F18" s="19" t="s">
        <v>407</v>
      </c>
    </row>
    <row r="19" customFormat="false" ht="15" hidden="false" customHeight="false" outlineLevel="0" collapsed="false">
      <c r="A19" s="19" t="s">
        <v>388</v>
      </c>
      <c r="B19" s="19" t="s">
        <v>408</v>
      </c>
      <c r="C19" s="19" t="s">
        <v>409</v>
      </c>
      <c r="D19" s="19" t="s">
        <v>401</v>
      </c>
      <c r="E19" s="19" t="s">
        <v>410</v>
      </c>
      <c r="F19" s="19" t="s">
        <v>411</v>
      </c>
    </row>
    <row r="20" customFormat="false" ht="15" hidden="false" customHeight="false" outlineLevel="0" collapsed="false">
      <c r="A20" s="19" t="s">
        <v>388</v>
      </c>
      <c r="B20" s="19" t="s">
        <v>412</v>
      </c>
      <c r="C20" s="19" t="s">
        <v>377</v>
      </c>
      <c r="D20" s="19" t="s">
        <v>373</v>
      </c>
      <c r="E20" s="19" t="s">
        <v>413</v>
      </c>
      <c r="F20" s="19" t="s">
        <v>414</v>
      </c>
    </row>
    <row r="21" customFormat="false" ht="15" hidden="false" customHeight="false" outlineLevel="0" collapsed="false">
      <c r="A21" s="19" t="s">
        <v>388</v>
      </c>
      <c r="B21" s="19" t="s">
        <v>415</v>
      </c>
      <c r="C21" s="19" t="s">
        <v>416</v>
      </c>
      <c r="D21" s="19" t="s">
        <v>373</v>
      </c>
      <c r="E21" s="19" t="s">
        <v>417</v>
      </c>
      <c r="F21" s="19" t="s">
        <v>418</v>
      </c>
    </row>
    <row r="22" customFormat="false" ht="15" hidden="false" customHeight="false" outlineLevel="0" collapsed="false">
      <c r="A22" s="19" t="s">
        <v>388</v>
      </c>
      <c r="B22" s="19" t="s">
        <v>384</v>
      </c>
      <c r="C22" s="19" t="s">
        <v>419</v>
      </c>
      <c r="D22" s="19" t="s">
        <v>270</v>
      </c>
      <c r="E22" s="19" t="s">
        <v>420</v>
      </c>
      <c r="F22" s="19" t="s">
        <v>387</v>
      </c>
    </row>
    <row r="25" customFormat="false" ht="15" hidden="false" customHeight="false" outlineLevel="0" collapsed="false">
      <c r="A25" s="3" t="s">
        <v>421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19" t="s">
        <v>422</v>
      </c>
      <c r="B26" s="19" t="s">
        <v>423</v>
      </c>
      <c r="C26" s="19"/>
      <c r="D26" s="19"/>
      <c r="E26" s="19"/>
      <c r="F26" s="19"/>
    </row>
    <row r="27" customFormat="false" ht="15" hidden="false" customHeight="true" outlineLevel="0" collapsed="false">
      <c r="A27" s="19" t="s">
        <v>424</v>
      </c>
      <c r="B27" s="19" t="s">
        <v>425</v>
      </c>
      <c r="C27" s="19"/>
      <c r="D27" s="19"/>
      <c r="E27" s="19"/>
      <c r="F27" s="19"/>
    </row>
    <row r="28" customFormat="false" ht="15" hidden="false" customHeight="true" outlineLevel="0" collapsed="false">
      <c r="A28" s="19" t="s">
        <v>426</v>
      </c>
      <c r="B28" s="19" t="s">
        <v>427</v>
      </c>
      <c r="C28" s="19"/>
      <c r="D28" s="19"/>
      <c r="E28" s="19"/>
      <c r="F28" s="19"/>
    </row>
  </sheetData>
  <mergeCells count="3"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18.55" hidden="false" customHeight="false" outlineLevel="0" collapsed="false">
      <c r="A1" s="1" t="s">
        <v>428</v>
      </c>
    </row>
    <row r="2" customFormat="false" ht="15" hidden="false" customHeight="false" outlineLevel="0" collapsed="false">
      <c r="A2" s="2" t="s">
        <v>429</v>
      </c>
    </row>
    <row r="4" customFormat="false" ht="35.05" hidden="false" customHeight="false" outlineLevel="0" collapsed="false">
      <c r="A4" s="18" t="s">
        <v>83</v>
      </c>
      <c r="B4" s="18" t="s">
        <v>430</v>
      </c>
      <c r="C4" s="18" t="s">
        <v>246</v>
      </c>
      <c r="D4" s="18" t="s">
        <v>431</v>
      </c>
      <c r="E4" s="18" t="s">
        <v>432</v>
      </c>
      <c r="F4" s="18" t="s">
        <v>433</v>
      </c>
      <c r="G4" s="18" t="s">
        <v>434</v>
      </c>
    </row>
    <row r="5" customFormat="false" ht="15" hidden="false" customHeight="false" outlineLevel="0" collapsed="false">
      <c r="A5" s="19" t="n">
        <v>0</v>
      </c>
      <c r="B5" s="19" t="s">
        <v>270</v>
      </c>
      <c r="C5" s="19"/>
      <c r="D5" s="19"/>
      <c r="E5" s="19" t="n">
        <v>100</v>
      </c>
      <c r="F5" s="19" t="n">
        <f aca="false">100+100+100+200+100</f>
        <v>600</v>
      </c>
      <c r="G5" s="19" t="n">
        <f aca="false">IFERROR(INDEX('Weekly Review'!T5:T19,MATCH(A5,'Weekly Review'!A5:A19,0)),"")</f>
        <v>0</v>
      </c>
    </row>
    <row r="6" customFormat="false" ht="15" hidden="false" customHeight="false" outlineLevel="0" collapsed="false">
      <c r="A6" s="19" t="n">
        <v>1</v>
      </c>
      <c r="B6" s="19" t="s">
        <v>435</v>
      </c>
      <c r="C6" s="19" t="s">
        <v>436</v>
      </c>
      <c r="D6" s="19" t="n">
        <f aca="false">100+100+50*8+100</f>
        <v>700</v>
      </c>
      <c r="E6" s="19" t="n">
        <v>100</v>
      </c>
      <c r="F6" s="19" t="n">
        <f aca="false">100+100+100+200+100</f>
        <v>600</v>
      </c>
      <c r="G6" s="19" t="n">
        <f aca="false">IFERROR(INDEX('Weekly Review'!T5:T19,MATCH(A6,'Weekly Review'!A5:A19,0)),"")</f>
        <v>0</v>
      </c>
    </row>
    <row r="7" customFormat="false" ht="15" hidden="false" customHeight="false" outlineLevel="0" collapsed="false">
      <c r="A7" s="19" t="n">
        <v>2</v>
      </c>
      <c r="B7" s="19" t="s">
        <v>437</v>
      </c>
      <c r="C7" s="19" t="s">
        <v>436</v>
      </c>
      <c r="D7" s="19" t="n">
        <f aca="false">100+100+75*6+100</f>
        <v>750</v>
      </c>
      <c r="E7" s="19" t="n">
        <v>125</v>
      </c>
      <c r="F7" s="19" t="n">
        <f aca="false">100+100+125+200+100</f>
        <v>625</v>
      </c>
      <c r="G7" s="19" t="n">
        <f aca="false">IFERROR(INDEX('Weekly Review'!T5:T19,MATCH(A7,'Weekly Review'!A5:A19,0)),"")</f>
        <v>0</v>
      </c>
    </row>
    <row r="8" customFormat="false" ht="15" hidden="false" customHeight="false" outlineLevel="0" collapsed="false">
      <c r="A8" s="19" t="n">
        <v>3</v>
      </c>
      <c r="B8" s="19" t="s">
        <v>438</v>
      </c>
      <c r="C8" s="19" t="s">
        <v>436</v>
      </c>
      <c r="D8" s="19" t="n">
        <f aca="false">100+100+100*5+100</f>
        <v>800</v>
      </c>
      <c r="E8" s="19" t="n">
        <v>150</v>
      </c>
      <c r="F8" s="19" t="n">
        <f aca="false">100+100+150+200+100</f>
        <v>650</v>
      </c>
      <c r="G8" s="19" t="n">
        <f aca="false">IFERROR(INDEX('Weekly Review'!T5:T19,MATCH(A8,'Weekly Review'!A5:A19,0)),"")</f>
        <v>0</v>
      </c>
    </row>
    <row r="9" customFormat="false" ht="15" hidden="false" customHeight="false" outlineLevel="0" collapsed="false">
      <c r="A9" s="19" t="n">
        <v>4</v>
      </c>
      <c r="B9" s="19" t="s">
        <v>439</v>
      </c>
      <c r="C9" s="19" t="s">
        <v>401</v>
      </c>
      <c r="D9" s="19" t="n">
        <f aca="false">100+100+100*4+100</f>
        <v>700</v>
      </c>
      <c r="E9" s="19" t="n">
        <v>200</v>
      </c>
      <c r="F9" s="19" t="n">
        <f aca="false">100+100+200+200+100</f>
        <v>700</v>
      </c>
      <c r="G9" s="19" t="n">
        <f aca="false">IFERROR(INDEX('Weekly Review'!T5:T19,MATCH(A9,'Weekly Review'!A5:A19,0)),"")</f>
        <v>0</v>
      </c>
    </row>
    <row r="10" customFormat="false" ht="15" hidden="false" customHeight="false" outlineLevel="0" collapsed="false">
      <c r="A10" s="19" t="n">
        <v>5</v>
      </c>
      <c r="B10" s="19" t="s">
        <v>440</v>
      </c>
      <c r="C10" s="19" t="s">
        <v>373</v>
      </c>
      <c r="D10" s="19" t="n">
        <f aca="false">100+100+150*4+100</f>
        <v>900</v>
      </c>
      <c r="E10" s="19" t="n">
        <v>250</v>
      </c>
      <c r="F10" s="19" t="n">
        <f aca="false">100+100+250+200+100</f>
        <v>750</v>
      </c>
      <c r="G10" s="19" t="n">
        <f aca="false">IFERROR(INDEX('Weekly Review'!T5:T19,MATCH(A10,'Weekly Review'!A5:A19,0)),"")</f>
        <v>0</v>
      </c>
    </row>
    <row r="11" customFormat="false" ht="15" hidden="false" customHeight="false" outlineLevel="0" collapsed="false">
      <c r="A11" s="19" t="n">
        <v>6</v>
      </c>
      <c r="B11" s="19" t="s">
        <v>441</v>
      </c>
      <c r="C11" s="19" t="s">
        <v>373</v>
      </c>
      <c r="D11" s="19" t="n">
        <f aca="false">100+100+200*3+100</f>
        <v>900</v>
      </c>
      <c r="E11" s="19" t="n">
        <v>300</v>
      </c>
      <c r="F11" s="19" t="n">
        <f aca="false">100+100+300+200+100</f>
        <v>800</v>
      </c>
      <c r="G11" s="19" t="n">
        <f aca="false">IFERROR(INDEX('Weekly Review'!T5:T19,MATCH(A11,'Weekly Review'!A5:A19,0)),"")</f>
        <v>0</v>
      </c>
    </row>
    <row r="12" customFormat="false" ht="15" hidden="false" customHeight="false" outlineLevel="0" collapsed="false">
      <c r="A12" s="19" t="n">
        <v>7</v>
      </c>
      <c r="B12" s="19" t="s">
        <v>442</v>
      </c>
      <c r="C12" s="19" t="s">
        <v>436</v>
      </c>
      <c r="D12" s="19" t="n">
        <f aca="false">100+100+200*4+100</f>
        <v>1100</v>
      </c>
      <c r="E12" s="19" t="n">
        <v>350</v>
      </c>
      <c r="F12" s="19" t="n">
        <f aca="false">100+100+350+200+100</f>
        <v>850</v>
      </c>
      <c r="G12" s="19" t="n">
        <f aca="false">IFERROR(INDEX('Weekly Review'!T5:T19,MATCH(A12,'Weekly Review'!A5:A19,0)),"")</f>
        <v>0</v>
      </c>
    </row>
    <row r="13" customFormat="false" ht="15" hidden="false" customHeight="false" outlineLevel="0" collapsed="false">
      <c r="A13" s="19" t="n">
        <v>8</v>
      </c>
      <c r="B13" s="19" t="s">
        <v>441</v>
      </c>
      <c r="C13" s="19" t="s">
        <v>436</v>
      </c>
      <c r="D13" s="19" t="n">
        <f aca="false">100+100+200*3+100</f>
        <v>900</v>
      </c>
      <c r="E13" s="19" t="n">
        <v>400</v>
      </c>
      <c r="F13" s="19" t="n">
        <f aca="false">100+100+400+200+100</f>
        <v>900</v>
      </c>
      <c r="G13" s="19" t="n">
        <f aca="false">IFERROR(INDEX('Weekly Review'!T5:T19,MATCH(A13,'Weekly Review'!A5:A19,0)),"")</f>
        <v>0</v>
      </c>
    </row>
    <row r="14" customFormat="false" ht="15" hidden="false" customHeight="false" outlineLevel="0" collapsed="false">
      <c r="A14" s="19" t="n">
        <v>9</v>
      </c>
      <c r="B14" s="19" t="s">
        <v>443</v>
      </c>
      <c r="C14" s="19" t="s">
        <v>373</v>
      </c>
      <c r="D14" s="19" t="n">
        <f aca="false">100+100+250*3+100</f>
        <v>1050</v>
      </c>
      <c r="E14" s="19" t="n">
        <v>450</v>
      </c>
      <c r="F14" s="19" t="n">
        <f aca="false">100+100+450+200+100</f>
        <v>950</v>
      </c>
      <c r="G14" s="19" t="n">
        <f aca="false">IFERROR(INDEX('Weekly Review'!T5:T19,MATCH(A14,'Weekly Review'!A5:A19,0)),"")</f>
        <v>0</v>
      </c>
    </row>
    <row r="15" customFormat="false" ht="15" hidden="false" customHeight="false" outlineLevel="0" collapsed="false">
      <c r="A15" s="19" t="n">
        <v>10</v>
      </c>
      <c r="B15" s="19" t="s">
        <v>444</v>
      </c>
      <c r="C15" s="19" t="s">
        <v>355</v>
      </c>
      <c r="D15" s="19" t="n">
        <f aca="false">100+100+400*2+100</f>
        <v>1100</v>
      </c>
      <c r="E15" s="19" t="n">
        <v>500</v>
      </c>
      <c r="F15" s="19" t="n">
        <f aca="false">100+100+500+200+100</f>
        <v>1000</v>
      </c>
      <c r="G15" s="19" t="n">
        <f aca="false">IFERROR(INDEX('Weekly Review'!T5:T19,MATCH(A15,'Weekly Review'!A5:A19,0)),"")</f>
        <v>0</v>
      </c>
    </row>
    <row r="16" customFormat="false" ht="15" hidden="false" customHeight="false" outlineLevel="0" collapsed="false">
      <c r="A16" s="19" t="n">
        <v>11</v>
      </c>
      <c r="B16" s="19" t="s">
        <v>443</v>
      </c>
      <c r="C16" s="19" t="s">
        <v>373</v>
      </c>
      <c r="D16" s="19" t="n">
        <f aca="false">100+100+250*3+100</f>
        <v>1050</v>
      </c>
      <c r="E16" s="19" t="n">
        <v>600</v>
      </c>
      <c r="F16" s="19" t="n">
        <f aca="false">100+100+600+200+100</f>
        <v>1100</v>
      </c>
      <c r="G16" s="19" t="n">
        <f aca="false">IFERROR(INDEX('Weekly Review'!T5:T19,MATCH(A16,'Weekly Review'!A5:A19,0)),"")</f>
        <v>0</v>
      </c>
    </row>
    <row r="17" customFormat="false" ht="15" hidden="false" customHeight="false" outlineLevel="0" collapsed="false">
      <c r="A17" s="19" t="n">
        <v>12</v>
      </c>
      <c r="B17" s="19" t="s">
        <v>444</v>
      </c>
      <c r="C17" s="19" t="s">
        <v>355</v>
      </c>
      <c r="D17" s="19" t="n">
        <f aca="false">100+100+400*2+100</f>
        <v>1100</v>
      </c>
      <c r="E17" s="19" t="n">
        <v>600</v>
      </c>
      <c r="F17" s="19" t="n">
        <f aca="false">100+100+600+200+100</f>
        <v>1100</v>
      </c>
      <c r="G17" s="19" t="n">
        <f aca="false">IFERROR(INDEX('Weekly Review'!T5:T19,MATCH(A17,'Weekly Review'!A5:A19,0)),"")</f>
        <v>0</v>
      </c>
    </row>
    <row r="18" customFormat="false" ht="15" hidden="false" customHeight="false" outlineLevel="0" collapsed="false">
      <c r="A18" s="19" t="n">
        <v>13</v>
      </c>
      <c r="B18" s="19" t="s">
        <v>440</v>
      </c>
      <c r="C18" s="19" t="s">
        <v>436</v>
      </c>
      <c r="D18" s="19" t="n">
        <f aca="false">100+100+150*4+100</f>
        <v>900</v>
      </c>
      <c r="E18" s="19" t="n">
        <v>700</v>
      </c>
      <c r="F18" s="19" t="n">
        <f aca="false">100+100+700+200+100</f>
        <v>1200</v>
      </c>
      <c r="G18" s="19" t="n">
        <f aca="false">IFERROR(INDEX('Weekly Review'!T5:T19,MATCH(A18,'Weekly Review'!A5:A19,0)),"")</f>
        <v>0</v>
      </c>
    </row>
    <row r="19" customFormat="false" ht="15" hidden="false" customHeight="false" outlineLevel="0" collapsed="false">
      <c r="A19" s="19" t="n">
        <v>14</v>
      </c>
      <c r="B19" s="19" t="s">
        <v>339</v>
      </c>
      <c r="C19" s="19" t="s">
        <v>401</v>
      </c>
      <c r="D19" s="19" t="n">
        <f aca="false">100+100+50*6+100</f>
        <v>600</v>
      </c>
      <c r="E19" s="19" t="s">
        <v>338</v>
      </c>
      <c r="F19" s="19"/>
      <c r="G19" s="19" t="n">
        <f aca="false">IFERROR(INDEX('Weekly Review'!T5:T19,MATCH(A19,'Weekly Review'!A5:A19,0)),"")</f>
        <v>0</v>
      </c>
    </row>
    <row r="21" customFormat="false" ht="15" hidden="false" customHeight="false" outlineLevel="0" collapsed="false">
      <c r="A21" s="117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8"/>
  </cols>
  <sheetData>
    <row r="1" customFormat="false" ht="18.55" hidden="false" customHeight="false" outlineLevel="0" collapsed="false">
      <c r="A1" s="1" t="s">
        <v>446</v>
      </c>
    </row>
    <row r="2" customFormat="false" ht="15" hidden="false" customHeight="false" outlineLevel="0" collapsed="false">
      <c r="A2" s="2" t="s">
        <v>447</v>
      </c>
    </row>
    <row r="4" customFormat="false" ht="23.85" hidden="false" customHeight="false" outlineLevel="0" collapsed="false">
      <c r="A4" s="18" t="s">
        <v>448</v>
      </c>
      <c r="B4" s="18" t="s">
        <v>449</v>
      </c>
      <c r="C4" s="18" t="s">
        <v>450</v>
      </c>
      <c r="D4" s="18" t="s">
        <v>451</v>
      </c>
      <c r="E4" s="18" t="s">
        <v>452</v>
      </c>
      <c r="F4" s="18" t="s">
        <v>453</v>
      </c>
      <c r="G4" s="18" t="s">
        <v>454</v>
      </c>
      <c r="H4" s="18" t="s">
        <v>455</v>
      </c>
    </row>
    <row r="5" customFormat="false" ht="15" hidden="false" customHeight="false" outlineLevel="0" collapsed="false">
      <c r="A5" s="19" t="s">
        <v>456</v>
      </c>
      <c r="B5" s="19" t="s">
        <v>456</v>
      </c>
      <c r="C5" s="19" t="s">
        <v>457</v>
      </c>
      <c r="D5" s="19" t="n">
        <v>100</v>
      </c>
      <c r="E5" s="6" t="n">
        <v>115</v>
      </c>
      <c r="F5" s="6" t="n">
        <v>2.5</v>
      </c>
      <c r="G5" s="6" t="n">
        <v>25</v>
      </c>
      <c r="H5" s="6" t="n">
        <v>0.5</v>
      </c>
    </row>
    <row r="6" customFormat="false" ht="15" hidden="false" customHeight="false" outlineLevel="0" collapsed="false">
      <c r="A6" s="19" t="s">
        <v>458</v>
      </c>
      <c r="B6" s="19" t="s">
        <v>459</v>
      </c>
      <c r="C6" s="19" t="s">
        <v>457</v>
      </c>
      <c r="D6" s="19" t="n">
        <v>100</v>
      </c>
      <c r="E6" s="6" t="n">
        <v>130</v>
      </c>
      <c r="F6" s="6" t="n">
        <v>2.7</v>
      </c>
      <c r="G6" s="6" t="n">
        <v>28</v>
      </c>
      <c r="H6" s="6" t="n">
        <v>0.3</v>
      </c>
    </row>
    <row r="7" customFormat="false" ht="15" hidden="false" customHeight="false" outlineLevel="0" collapsed="false">
      <c r="A7" s="19" t="s">
        <v>460</v>
      </c>
      <c r="B7" s="19" t="s">
        <v>461</v>
      </c>
      <c r="C7" s="19" t="s">
        <v>457</v>
      </c>
      <c r="D7" s="19" t="n">
        <v>100</v>
      </c>
      <c r="E7" s="6" t="n">
        <v>86</v>
      </c>
      <c r="F7" s="6" t="n">
        <v>1.6</v>
      </c>
      <c r="G7" s="6" t="n">
        <v>20</v>
      </c>
      <c r="H7" s="6" t="n">
        <v>0.1</v>
      </c>
    </row>
    <row r="8" customFormat="false" ht="15" hidden="false" customHeight="false" outlineLevel="0" collapsed="false">
      <c r="A8" s="19" t="s">
        <v>462</v>
      </c>
      <c r="B8" s="19" t="s">
        <v>463</v>
      </c>
      <c r="C8" s="19" t="s">
        <v>457</v>
      </c>
      <c r="D8" s="19" t="n">
        <v>100</v>
      </c>
      <c r="E8" s="6" t="n">
        <v>87</v>
      </c>
      <c r="F8" s="6" t="n">
        <v>1.9</v>
      </c>
      <c r="G8" s="6" t="n">
        <v>20</v>
      </c>
      <c r="H8" s="6" t="n">
        <v>0.1</v>
      </c>
    </row>
    <row r="9" customFormat="false" ht="15" hidden="false" customHeight="false" outlineLevel="0" collapsed="false">
      <c r="A9" s="19" t="s">
        <v>464</v>
      </c>
      <c r="B9" s="19" t="s">
        <v>465</v>
      </c>
      <c r="C9" s="19" t="s">
        <v>457</v>
      </c>
      <c r="D9" s="19" t="n">
        <v>100</v>
      </c>
      <c r="E9" s="6" t="n">
        <v>116</v>
      </c>
      <c r="F9" s="6" t="n">
        <v>0.8</v>
      </c>
      <c r="G9" s="6" t="n">
        <v>31</v>
      </c>
      <c r="H9" s="6" t="n">
        <v>0.2</v>
      </c>
    </row>
    <row r="10" customFormat="false" ht="15" hidden="false" customHeight="false" outlineLevel="0" collapsed="false">
      <c r="A10" s="19" t="s">
        <v>466</v>
      </c>
      <c r="B10" s="19" t="s">
        <v>467</v>
      </c>
      <c r="C10" s="19" t="s">
        <v>457</v>
      </c>
      <c r="D10" s="19" t="n">
        <v>100</v>
      </c>
      <c r="E10" s="6" t="n">
        <v>127</v>
      </c>
      <c r="F10" s="6" t="n">
        <v>8.7</v>
      </c>
      <c r="G10" s="6" t="n">
        <v>23</v>
      </c>
      <c r="H10" s="6" t="n">
        <v>0.5</v>
      </c>
    </row>
    <row r="11" customFormat="false" ht="15" hidden="false" customHeight="false" outlineLevel="0" collapsed="false">
      <c r="A11" s="19" t="s">
        <v>468</v>
      </c>
      <c r="B11" s="19" t="s">
        <v>469</v>
      </c>
      <c r="C11" s="19" t="s">
        <v>457</v>
      </c>
      <c r="D11" s="19" t="n">
        <v>100</v>
      </c>
      <c r="E11" s="6" t="n">
        <v>116</v>
      </c>
      <c r="F11" s="6" t="n">
        <v>9</v>
      </c>
      <c r="G11" s="6" t="n">
        <v>20</v>
      </c>
      <c r="H11" s="6" t="n">
        <v>0.4</v>
      </c>
    </row>
    <row r="12" customFormat="false" ht="15" hidden="false" customHeight="false" outlineLevel="0" collapsed="false">
      <c r="A12" s="19" t="s">
        <v>470</v>
      </c>
      <c r="B12" s="19" t="s">
        <v>471</v>
      </c>
      <c r="C12" s="19" t="s">
        <v>457</v>
      </c>
      <c r="D12" s="19" t="n">
        <v>100</v>
      </c>
      <c r="E12" s="6" t="n">
        <v>165</v>
      </c>
      <c r="F12" s="6" t="n">
        <v>31</v>
      </c>
      <c r="G12" s="6" t="n">
        <v>0</v>
      </c>
      <c r="H12" s="6" t="n">
        <v>3.6</v>
      </c>
    </row>
    <row r="13" customFormat="false" ht="15" hidden="false" customHeight="false" outlineLevel="0" collapsed="false">
      <c r="A13" s="19" t="s">
        <v>472</v>
      </c>
      <c r="B13" s="19" t="s">
        <v>473</v>
      </c>
      <c r="C13" s="19" t="s">
        <v>457</v>
      </c>
      <c r="D13" s="19" t="n">
        <v>100</v>
      </c>
      <c r="E13" s="6" t="n">
        <v>128</v>
      </c>
      <c r="F13" s="6" t="n">
        <v>26</v>
      </c>
      <c r="G13" s="6" t="n">
        <v>0</v>
      </c>
      <c r="H13" s="6" t="n">
        <v>2.7</v>
      </c>
    </row>
    <row r="14" customFormat="false" ht="15" hidden="false" customHeight="false" outlineLevel="0" collapsed="false">
      <c r="A14" s="19" t="s">
        <v>474</v>
      </c>
      <c r="B14" s="19" t="s">
        <v>475</v>
      </c>
      <c r="C14" s="19" t="s">
        <v>457</v>
      </c>
      <c r="D14" s="19" t="n">
        <v>100</v>
      </c>
      <c r="E14" s="6" t="n">
        <v>200</v>
      </c>
      <c r="F14" s="6" t="n">
        <v>28</v>
      </c>
      <c r="G14" s="6" t="n">
        <v>0</v>
      </c>
      <c r="H14" s="6" t="n">
        <v>9</v>
      </c>
    </row>
    <row r="15" customFormat="false" ht="15" hidden="false" customHeight="false" outlineLevel="0" collapsed="false">
      <c r="A15" s="19" t="s">
        <v>476</v>
      </c>
      <c r="B15" s="19" t="s">
        <v>477</v>
      </c>
      <c r="C15" s="19" t="s">
        <v>457</v>
      </c>
      <c r="D15" s="19" t="n">
        <v>100</v>
      </c>
      <c r="E15" s="6" t="n">
        <v>330</v>
      </c>
      <c r="F15" s="6" t="n">
        <v>60</v>
      </c>
      <c r="G15" s="6" t="n">
        <v>0</v>
      </c>
      <c r="H15" s="6" t="n">
        <v>9</v>
      </c>
    </row>
    <row r="16" customFormat="false" ht="15" hidden="false" customHeight="false" outlineLevel="0" collapsed="false">
      <c r="A16" s="19" t="s">
        <v>478</v>
      </c>
      <c r="B16" s="19" t="s">
        <v>479</v>
      </c>
      <c r="C16" s="19" t="s">
        <v>457</v>
      </c>
      <c r="D16" s="19" t="n">
        <v>100</v>
      </c>
      <c r="E16" s="6" t="n">
        <v>208</v>
      </c>
      <c r="F16" s="6" t="n">
        <v>25</v>
      </c>
      <c r="G16" s="6" t="n">
        <v>0</v>
      </c>
      <c r="H16" s="6" t="n">
        <v>11</v>
      </c>
    </row>
    <row r="17" customFormat="false" ht="15" hidden="false" customHeight="false" outlineLevel="0" collapsed="false">
      <c r="A17" s="19" t="s">
        <v>480</v>
      </c>
      <c r="B17" s="19" t="s">
        <v>481</v>
      </c>
      <c r="C17" s="19" t="s">
        <v>457</v>
      </c>
      <c r="D17" s="19" t="n">
        <v>100</v>
      </c>
      <c r="E17" s="6" t="n">
        <v>25</v>
      </c>
      <c r="F17" s="6" t="n">
        <v>2.5</v>
      </c>
      <c r="G17" s="6" t="n">
        <v>4</v>
      </c>
      <c r="H17" s="6" t="n">
        <v>0.3</v>
      </c>
    </row>
    <row r="18" customFormat="false" ht="15" hidden="false" customHeight="false" outlineLevel="0" collapsed="false">
      <c r="A18" s="19" t="s">
        <v>482</v>
      </c>
      <c r="B18" s="19" t="s">
        <v>482</v>
      </c>
      <c r="C18" s="19" t="s">
        <v>457</v>
      </c>
      <c r="D18" s="19" t="n">
        <v>100</v>
      </c>
      <c r="E18" s="6" t="n">
        <v>25</v>
      </c>
      <c r="F18" s="6" t="n">
        <v>1</v>
      </c>
      <c r="G18" s="6" t="n">
        <v>5</v>
      </c>
      <c r="H18" s="6" t="n">
        <v>0.2</v>
      </c>
    </row>
    <row r="19" customFormat="false" ht="15" hidden="false" customHeight="false" outlineLevel="0" collapsed="false">
      <c r="A19" s="19" t="s">
        <v>483</v>
      </c>
      <c r="B19" s="19" t="s">
        <v>483</v>
      </c>
      <c r="C19" s="19" t="s">
        <v>457</v>
      </c>
      <c r="D19" s="19" t="n">
        <v>100</v>
      </c>
      <c r="E19" s="6" t="n">
        <v>160</v>
      </c>
      <c r="F19" s="6" t="n">
        <v>2</v>
      </c>
      <c r="G19" s="6" t="n">
        <v>9</v>
      </c>
      <c r="H19" s="6" t="n">
        <v>15</v>
      </c>
    </row>
    <row r="20" customFormat="false" ht="15" hidden="false" customHeight="false" outlineLevel="0" collapsed="false">
      <c r="A20" s="19" t="s">
        <v>484</v>
      </c>
      <c r="B20" s="19" t="s">
        <v>485</v>
      </c>
      <c r="C20" s="19" t="s">
        <v>457</v>
      </c>
      <c r="D20" s="19" t="n">
        <v>100</v>
      </c>
      <c r="E20" s="6" t="n">
        <v>567</v>
      </c>
      <c r="F20" s="6" t="n">
        <v>26</v>
      </c>
      <c r="G20" s="6" t="n">
        <v>16</v>
      </c>
      <c r="H20" s="6" t="n">
        <v>49</v>
      </c>
    </row>
    <row r="21" customFormat="false" ht="15" hidden="false" customHeight="false" outlineLevel="0" collapsed="false">
      <c r="A21" s="19" t="s">
        <v>486</v>
      </c>
      <c r="B21" s="19" t="s">
        <v>487</v>
      </c>
      <c r="C21" s="19" t="s">
        <v>457</v>
      </c>
      <c r="D21" s="19" t="n">
        <v>100</v>
      </c>
      <c r="E21" s="6" t="n">
        <v>559</v>
      </c>
      <c r="F21" s="6" t="n">
        <v>30</v>
      </c>
      <c r="G21" s="6" t="n">
        <v>11</v>
      </c>
      <c r="H21" s="6" t="n">
        <v>49</v>
      </c>
    </row>
    <row r="22" customFormat="false" ht="15" hidden="false" customHeight="false" outlineLevel="0" collapsed="false">
      <c r="A22" s="19" t="s">
        <v>488</v>
      </c>
      <c r="B22" s="19" t="s">
        <v>489</v>
      </c>
      <c r="C22" s="19" t="s">
        <v>457</v>
      </c>
      <c r="D22" s="19" t="n">
        <v>100</v>
      </c>
      <c r="E22" s="6" t="n">
        <v>380</v>
      </c>
      <c r="F22" s="6" t="n">
        <v>13</v>
      </c>
      <c r="G22" s="6" t="n">
        <v>66</v>
      </c>
      <c r="H22" s="6" t="n">
        <v>7</v>
      </c>
    </row>
    <row r="23" customFormat="false" ht="15" hidden="false" customHeight="false" outlineLevel="0" collapsed="false">
      <c r="A23" s="19" t="s">
        <v>490</v>
      </c>
      <c r="B23" s="19" t="s">
        <v>491</v>
      </c>
      <c r="C23" s="19" t="s">
        <v>457</v>
      </c>
      <c r="D23" s="19" t="n">
        <v>100</v>
      </c>
      <c r="E23" s="6" t="n">
        <v>360</v>
      </c>
      <c r="F23" s="6" t="n">
        <v>9</v>
      </c>
      <c r="G23" s="6" t="n">
        <v>74</v>
      </c>
      <c r="H23" s="6" t="n">
        <v>3.5</v>
      </c>
    </row>
    <row r="24" customFormat="false" ht="15" hidden="false" customHeight="false" outlineLevel="0" collapsed="false">
      <c r="A24" s="19" t="s">
        <v>492</v>
      </c>
      <c r="B24" s="19" t="s">
        <v>493</v>
      </c>
      <c r="C24" s="19" t="s">
        <v>457</v>
      </c>
      <c r="D24" s="19" t="n">
        <v>100</v>
      </c>
      <c r="E24" s="6" t="n">
        <v>250</v>
      </c>
      <c r="F24" s="6" t="n">
        <v>10</v>
      </c>
      <c r="G24" s="6" t="n">
        <v>44</v>
      </c>
      <c r="H24" s="6" t="n">
        <v>3.5</v>
      </c>
    </row>
    <row r="25" customFormat="false" ht="15" hidden="false" customHeight="false" outlineLevel="0" collapsed="false">
      <c r="A25" s="19" t="s">
        <v>494</v>
      </c>
      <c r="B25" s="19" t="s">
        <v>494</v>
      </c>
      <c r="C25" s="19" t="s">
        <v>457</v>
      </c>
      <c r="D25" s="19" t="n">
        <v>100</v>
      </c>
      <c r="E25" s="6" t="n">
        <v>30</v>
      </c>
      <c r="F25" s="6" t="n">
        <v>0.6</v>
      </c>
      <c r="G25" s="6" t="n">
        <v>8</v>
      </c>
      <c r="H25" s="6" t="n">
        <v>0.2</v>
      </c>
    </row>
    <row r="26" customFormat="false" ht="15" hidden="false" customHeight="false" outlineLevel="0" collapsed="false">
      <c r="A26" s="19" t="s">
        <v>495</v>
      </c>
      <c r="B26" s="19" t="s">
        <v>496</v>
      </c>
      <c r="C26" s="19" t="s">
        <v>457</v>
      </c>
      <c r="D26" s="19" t="n">
        <v>100</v>
      </c>
      <c r="E26" s="6" t="n">
        <v>43</v>
      </c>
      <c r="F26" s="6" t="n">
        <v>0.5</v>
      </c>
      <c r="G26" s="6" t="n">
        <v>11</v>
      </c>
      <c r="H26" s="6" t="n">
        <v>0.3</v>
      </c>
    </row>
    <row r="27" customFormat="false" ht="15" hidden="false" customHeight="false" outlineLevel="0" collapsed="false">
      <c r="A27" s="19" t="s">
        <v>497</v>
      </c>
      <c r="B27" s="19" t="s">
        <v>498</v>
      </c>
      <c r="C27" s="19" t="s">
        <v>457</v>
      </c>
      <c r="D27" s="19" t="n">
        <v>100</v>
      </c>
      <c r="E27" s="6" t="n">
        <v>60</v>
      </c>
      <c r="F27" s="6" t="n">
        <v>0.8</v>
      </c>
      <c r="G27" s="6" t="n">
        <v>15</v>
      </c>
      <c r="H27" s="6" t="n">
        <v>0.4</v>
      </c>
    </row>
    <row r="28" customFormat="false" ht="15" hidden="false" customHeight="false" outlineLevel="0" collapsed="false">
      <c r="A28" s="19" t="s">
        <v>499</v>
      </c>
      <c r="B28" s="19" t="s">
        <v>500</v>
      </c>
      <c r="C28" s="19" t="s">
        <v>457</v>
      </c>
      <c r="D28" s="19" t="n">
        <v>100</v>
      </c>
      <c r="E28" s="6" t="n">
        <v>50</v>
      </c>
      <c r="F28" s="6" t="n">
        <v>0.5</v>
      </c>
      <c r="G28" s="6" t="n">
        <v>13</v>
      </c>
      <c r="H28" s="6" t="n">
        <v>0.1</v>
      </c>
    </row>
    <row r="29" customFormat="false" ht="15" hidden="false" customHeight="false" outlineLevel="0" collapsed="false">
      <c r="A29" s="19" t="s">
        <v>501</v>
      </c>
      <c r="B29" s="19" t="s">
        <v>502</v>
      </c>
      <c r="C29" s="19" t="s">
        <v>457</v>
      </c>
      <c r="D29" s="19" t="n">
        <v>100</v>
      </c>
      <c r="E29" s="6" t="n">
        <v>47</v>
      </c>
      <c r="F29" s="6" t="n">
        <v>0.9</v>
      </c>
      <c r="G29" s="6" t="n">
        <v>12</v>
      </c>
      <c r="H29" s="6" t="n">
        <v>0.1</v>
      </c>
    </row>
    <row r="30" customFormat="false" ht="15" hidden="false" customHeight="false" outlineLevel="0" collapsed="false">
      <c r="A30" s="19" t="s">
        <v>503</v>
      </c>
      <c r="B30" s="19" t="s">
        <v>504</v>
      </c>
      <c r="C30" s="19" t="s">
        <v>457</v>
      </c>
      <c r="D30" s="19" t="n">
        <v>100</v>
      </c>
      <c r="E30" s="6" t="n">
        <v>25</v>
      </c>
      <c r="F30" s="6" t="n">
        <v>1</v>
      </c>
      <c r="G30" s="6" t="n">
        <v>5</v>
      </c>
      <c r="H30" s="6" t="n">
        <v>0.2</v>
      </c>
    </row>
    <row r="31" customFormat="false" ht="15" hidden="false" customHeight="false" outlineLevel="0" collapsed="false">
      <c r="A31" s="19" t="s">
        <v>505</v>
      </c>
      <c r="B31" s="19" t="s">
        <v>505</v>
      </c>
      <c r="C31" s="19" t="s">
        <v>506</v>
      </c>
      <c r="D31" s="19" t="n">
        <v>1</v>
      </c>
      <c r="E31" s="6" t="n">
        <v>72</v>
      </c>
      <c r="F31" s="6" t="n">
        <v>6.3</v>
      </c>
      <c r="G31" s="6" t="n">
        <v>0.4</v>
      </c>
      <c r="H31" s="6" t="n">
        <v>4.8</v>
      </c>
    </row>
    <row r="32" customFormat="false" ht="15" hidden="false" customHeight="false" outlineLevel="0" collapsed="false">
      <c r="A32" s="19" t="s">
        <v>507</v>
      </c>
      <c r="B32" s="19" t="s">
        <v>507</v>
      </c>
      <c r="C32" s="19" t="s">
        <v>506</v>
      </c>
      <c r="D32" s="19" t="n">
        <v>1</v>
      </c>
      <c r="E32" s="6" t="n">
        <v>105</v>
      </c>
      <c r="F32" s="6" t="n">
        <v>1.3</v>
      </c>
      <c r="G32" s="6" t="n">
        <v>27</v>
      </c>
      <c r="H32" s="6" t="n">
        <v>0.4</v>
      </c>
    </row>
    <row r="33" customFormat="false" ht="15" hidden="false" customHeight="false" outlineLevel="0" collapsed="false">
      <c r="A33" s="19" t="s">
        <v>508</v>
      </c>
      <c r="B33" s="19" t="s">
        <v>509</v>
      </c>
      <c r="C33" s="19" t="s">
        <v>506</v>
      </c>
      <c r="D33" s="19" t="n">
        <v>1</v>
      </c>
      <c r="E33" s="6" t="n">
        <v>23</v>
      </c>
      <c r="F33" s="6" t="n">
        <v>0.2</v>
      </c>
      <c r="G33" s="6" t="n">
        <v>6</v>
      </c>
      <c r="H33" s="6" t="n">
        <v>0</v>
      </c>
    </row>
    <row r="34" customFormat="false" ht="15" hidden="false" customHeight="false" outlineLevel="0" collapsed="false">
      <c r="A34" s="19" t="s">
        <v>510</v>
      </c>
      <c r="B34" s="19" t="s">
        <v>511</v>
      </c>
      <c r="C34" s="19" t="s">
        <v>506</v>
      </c>
      <c r="D34" s="19" t="n">
        <v>1</v>
      </c>
      <c r="E34" s="6" t="n">
        <v>150</v>
      </c>
      <c r="F34" s="6" t="n">
        <v>8</v>
      </c>
      <c r="G34" s="6" t="n">
        <v>12</v>
      </c>
      <c r="H34" s="6" t="n">
        <v>8</v>
      </c>
    </row>
    <row r="35" customFormat="false" ht="15" hidden="false" customHeight="false" outlineLevel="0" collapsed="false">
      <c r="A35" s="19" t="s">
        <v>512</v>
      </c>
      <c r="B35" s="19" t="s">
        <v>513</v>
      </c>
      <c r="C35" s="19" t="s">
        <v>506</v>
      </c>
      <c r="D35" s="19" t="n">
        <v>1</v>
      </c>
      <c r="E35" s="6" t="n">
        <v>150</v>
      </c>
      <c r="F35" s="6" t="n">
        <v>8.5</v>
      </c>
      <c r="G35" s="6" t="n">
        <v>11</v>
      </c>
      <c r="H35" s="6" t="n">
        <v>8</v>
      </c>
    </row>
    <row r="36" customFormat="false" ht="15" hidden="false" customHeight="false" outlineLevel="0" collapsed="false">
      <c r="A36" s="19" t="s">
        <v>514</v>
      </c>
      <c r="B36" s="19" t="s">
        <v>515</v>
      </c>
      <c r="C36" s="19" t="s">
        <v>506</v>
      </c>
      <c r="D36" s="19" t="n">
        <v>1</v>
      </c>
      <c r="E36" s="6" t="n">
        <v>40</v>
      </c>
      <c r="F36" s="6" t="n">
        <v>0</v>
      </c>
      <c r="G36" s="6" t="n">
        <v>0</v>
      </c>
      <c r="H36" s="6" t="n">
        <v>4.5</v>
      </c>
    </row>
    <row r="37" customFormat="false" ht="15" hidden="false" customHeight="false" outlineLevel="0" collapsed="false">
      <c r="A37" s="19" t="s">
        <v>516</v>
      </c>
      <c r="B37" s="19" t="s">
        <v>517</v>
      </c>
      <c r="C37" s="19" t="s">
        <v>506</v>
      </c>
      <c r="D37" s="19" t="n">
        <v>1</v>
      </c>
      <c r="E37" s="6" t="n">
        <v>16</v>
      </c>
      <c r="F37" s="6" t="n">
        <v>0</v>
      </c>
      <c r="G37" s="6" t="n">
        <v>4</v>
      </c>
      <c r="H37" s="6" t="n">
        <v>0</v>
      </c>
    </row>
    <row r="38" customFormat="false" ht="15" hidden="false" customHeight="false" outlineLevel="0" collapsed="false">
      <c r="A38" s="19" t="s">
        <v>518</v>
      </c>
      <c r="B38" s="19" t="s">
        <v>519</v>
      </c>
      <c r="C38" s="19" t="s">
        <v>506</v>
      </c>
      <c r="D38" s="19" t="n">
        <v>1</v>
      </c>
      <c r="E38" s="6" t="n">
        <v>21</v>
      </c>
      <c r="F38" s="6" t="n">
        <v>0</v>
      </c>
      <c r="G38" s="6" t="n">
        <v>6</v>
      </c>
      <c r="H38" s="6" t="n">
        <v>0</v>
      </c>
    </row>
    <row r="39" customFormat="false" ht="15" hidden="false" customHeight="false" outlineLevel="0" collapsed="false">
      <c r="A39" s="19" t="s">
        <v>520</v>
      </c>
      <c r="B39" s="19" t="s">
        <v>521</v>
      </c>
      <c r="C39" s="19" t="s">
        <v>506</v>
      </c>
      <c r="D39" s="19" t="n">
        <v>1</v>
      </c>
      <c r="E39" s="6" t="n">
        <v>95</v>
      </c>
      <c r="F39" s="6" t="n">
        <v>4</v>
      </c>
      <c r="G39" s="6" t="n">
        <v>3</v>
      </c>
      <c r="H39" s="6" t="n">
        <v>8</v>
      </c>
    </row>
    <row r="40" customFormat="false" ht="15" hidden="false" customHeight="false" outlineLevel="0" collapsed="false">
      <c r="A40" s="19" t="s">
        <v>522</v>
      </c>
      <c r="B40" s="19" t="s">
        <v>523</v>
      </c>
      <c r="C40" s="19" t="s">
        <v>506</v>
      </c>
      <c r="D40" s="19" t="n">
        <v>1</v>
      </c>
      <c r="E40" s="6" t="n">
        <v>60</v>
      </c>
      <c r="F40" s="6" t="n">
        <v>4</v>
      </c>
      <c r="G40" s="6" t="n">
        <v>6</v>
      </c>
      <c r="H40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9"/>
    <col collapsed="false" customWidth="true" hidden="false" outlineLevel="0" max="10" min="10" style="0" width="8"/>
    <col collapsed="false" customWidth="true" hidden="false" outlineLevel="0" max="11" min="11" style="0" width="50"/>
  </cols>
  <sheetData>
    <row r="1" customFormat="false" ht="18.55" hidden="false" customHeight="false" outlineLevel="0" collapsed="false">
      <c r="A1" s="1" t="s">
        <v>524</v>
      </c>
    </row>
    <row r="2" customFormat="false" ht="15" hidden="false" customHeight="false" outlineLevel="0" collapsed="false">
      <c r="A2" s="2" t="s">
        <v>525</v>
      </c>
    </row>
    <row r="4" customFormat="false" ht="23.85" hidden="false" customHeight="false" outlineLevel="0" collapsed="false">
      <c r="A4" s="18" t="s">
        <v>84</v>
      </c>
      <c r="B4" s="18" t="s">
        <v>85</v>
      </c>
      <c r="C4" s="18" t="s">
        <v>526</v>
      </c>
      <c r="D4" s="18" t="s">
        <v>527</v>
      </c>
      <c r="E4" s="18" t="s">
        <v>528</v>
      </c>
      <c r="F4" s="18" t="s">
        <v>90</v>
      </c>
      <c r="G4" s="18" t="s">
        <v>452</v>
      </c>
      <c r="H4" s="18" t="s">
        <v>453</v>
      </c>
      <c r="I4" s="18" t="s">
        <v>454</v>
      </c>
      <c r="J4" s="18" t="s">
        <v>455</v>
      </c>
      <c r="K4" s="18" t="s">
        <v>529</v>
      </c>
    </row>
    <row r="5" customFormat="false" ht="23.85" hidden="false" customHeight="false" outlineLevel="0" collapsed="false">
      <c r="A5" s="19" t="s">
        <v>530</v>
      </c>
      <c r="B5" s="19" t="s">
        <v>531</v>
      </c>
      <c r="C5" s="19" t="s">
        <v>532</v>
      </c>
      <c r="D5" s="6" t="s">
        <v>488</v>
      </c>
      <c r="E5" s="6" t="n">
        <v>50</v>
      </c>
      <c r="F5" s="19" t="s">
        <v>533</v>
      </c>
      <c r="G5" s="124" t="n">
        <f aca="false">E5/INDEX(Foods!$D$5:$D$40,MATCH(D5,Foods!$A$5:$A$40,0))*INDEX(Foods!$E$5:$E$40,MATCH(D5,Foods!$A$5:$A$40,0))</f>
        <v>190</v>
      </c>
      <c r="H5" s="124" t="n">
        <f aca="false">E5/INDEX(Foods!$D$5:$D$40,MATCH(D5,Foods!$A$5:$A$40,0))*INDEX(Foods!$F$5:$F$40,MATCH(D5,Foods!$A$5:$A$40,0))</f>
        <v>6.5</v>
      </c>
      <c r="I5" s="124" t="n">
        <f aca="false">E5/INDEX(Foods!$D$5:$D$40,MATCH(D5,Foods!$A$5:$A$40,0))*INDEX(Foods!$G$5:$G$40,MATCH(D5,Foods!$A$5:$A$40,0))</f>
        <v>33</v>
      </c>
      <c r="J5" s="124" t="n">
        <f aca="false">E5/INDEX(Foods!$D$5:$D$40,MATCH(D5,Foods!$A$5:$A$40,0))*INDEX(Foods!$H$5:$H$40,MATCH(D5,Foods!$A$5:$A$40,0))</f>
        <v>3.5</v>
      </c>
      <c r="K5" s="19" t="s">
        <v>534</v>
      </c>
    </row>
    <row r="6" customFormat="false" ht="15" hidden="false" customHeight="false" outlineLevel="0" collapsed="false">
      <c r="A6" s="19" t="s">
        <v>530</v>
      </c>
      <c r="B6" s="19" t="s">
        <v>531</v>
      </c>
      <c r="C6" s="19" t="s">
        <v>532</v>
      </c>
      <c r="D6" s="6" t="s">
        <v>510</v>
      </c>
      <c r="E6" s="6" t="n">
        <v>1</v>
      </c>
      <c r="F6" s="19" t="s">
        <v>535</v>
      </c>
      <c r="G6" s="124" t="n">
        <f aca="false">E6/INDEX(Foods!$D$5:$D$40,MATCH(D6,Foods!$A$5:$A$40,0))*INDEX(Foods!$E$5:$E$40,MATCH(D6,Foods!$A$5:$A$40,0))</f>
        <v>150</v>
      </c>
      <c r="H6" s="124" t="n">
        <f aca="false">E6/INDEX(Foods!$D$5:$D$40,MATCH(D6,Foods!$A$5:$A$40,0))*INDEX(Foods!$F$5:$F$40,MATCH(D6,Foods!$A$5:$A$40,0))</f>
        <v>8</v>
      </c>
      <c r="I6" s="124" t="n">
        <f aca="false">E6/INDEX(Foods!$D$5:$D$40,MATCH(D6,Foods!$A$5:$A$40,0))*INDEX(Foods!$G$5:$G$40,MATCH(D6,Foods!$A$5:$A$40,0))</f>
        <v>12</v>
      </c>
      <c r="J6" s="124" t="n">
        <f aca="false">E6/INDEX(Foods!$D$5:$D$40,MATCH(D6,Foods!$A$5:$A$40,0))*INDEX(Foods!$H$5:$H$40,MATCH(D6,Foods!$A$5:$A$40,0))</f>
        <v>8</v>
      </c>
      <c r="K6" s="19"/>
    </row>
    <row r="7" customFormat="false" ht="15" hidden="false" customHeight="false" outlineLevel="0" collapsed="false">
      <c r="A7" s="19" t="s">
        <v>530</v>
      </c>
      <c r="B7" s="19" t="s">
        <v>531</v>
      </c>
      <c r="C7" s="19" t="s">
        <v>532</v>
      </c>
      <c r="D7" s="6" t="s">
        <v>505</v>
      </c>
      <c r="E7" s="6" t="n">
        <v>3</v>
      </c>
      <c r="F7" s="19" t="s">
        <v>535</v>
      </c>
      <c r="G7" s="124" t="n">
        <f aca="false">E7/INDEX(Foods!$D$5:$D$40,MATCH(D7,Foods!$A$5:$A$40,0))*INDEX(Foods!$E$5:$E$40,MATCH(D7,Foods!$A$5:$A$40,0))</f>
        <v>216</v>
      </c>
      <c r="H7" s="124" t="n">
        <f aca="false">E7/INDEX(Foods!$D$5:$D$40,MATCH(D7,Foods!$A$5:$A$40,0))*INDEX(Foods!$F$5:$F$40,MATCH(D7,Foods!$A$5:$A$40,0))</f>
        <v>18.9</v>
      </c>
      <c r="I7" s="124" t="n">
        <f aca="false">E7/INDEX(Foods!$D$5:$D$40,MATCH(D7,Foods!$A$5:$A$40,0))*INDEX(Foods!$G$5:$G$40,MATCH(D7,Foods!$A$5:$A$40,0))</f>
        <v>1.2</v>
      </c>
      <c r="J7" s="124" t="n">
        <f aca="false">E7/INDEX(Foods!$D$5:$D$40,MATCH(D7,Foods!$A$5:$A$40,0))*INDEX(Foods!$H$5:$H$40,MATCH(D7,Foods!$A$5:$A$40,0))</f>
        <v>14.4</v>
      </c>
      <c r="K7" s="19"/>
    </row>
    <row r="8" customFormat="false" ht="15" hidden="false" customHeight="false" outlineLevel="0" collapsed="false">
      <c r="A8" s="19" t="s">
        <v>530</v>
      </c>
      <c r="B8" s="19" t="s">
        <v>531</v>
      </c>
      <c r="C8" s="19" t="s">
        <v>532</v>
      </c>
      <c r="D8" s="6" t="s">
        <v>507</v>
      </c>
      <c r="E8" s="6" t="n">
        <v>1</v>
      </c>
      <c r="F8" s="19" t="s">
        <v>535</v>
      </c>
      <c r="G8" s="124" t="n">
        <f aca="false">E8/INDEX(Foods!$D$5:$D$40,MATCH(D8,Foods!$A$5:$A$40,0))*INDEX(Foods!$E$5:$E$40,MATCH(D8,Foods!$A$5:$A$40,0))</f>
        <v>105</v>
      </c>
      <c r="H8" s="124" t="n">
        <f aca="false">E8/INDEX(Foods!$D$5:$D$40,MATCH(D8,Foods!$A$5:$A$40,0))*INDEX(Foods!$F$5:$F$40,MATCH(D8,Foods!$A$5:$A$40,0))</f>
        <v>1.3</v>
      </c>
      <c r="I8" s="124" t="n">
        <f aca="false">E8/INDEX(Foods!$D$5:$D$40,MATCH(D8,Foods!$A$5:$A$40,0))*INDEX(Foods!$G$5:$G$40,MATCH(D8,Foods!$A$5:$A$40,0))</f>
        <v>27</v>
      </c>
      <c r="J8" s="124" t="n">
        <f aca="false">E8/INDEX(Foods!$D$5:$D$40,MATCH(D8,Foods!$A$5:$A$40,0))*INDEX(Foods!$H$5:$H$40,MATCH(D8,Foods!$A$5:$A$40,0))</f>
        <v>0.4</v>
      </c>
      <c r="K8" s="19"/>
    </row>
    <row r="9" customFormat="false" ht="15" hidden="false" customHeight="false" outlineLevel="0" collapsed="false">
      <c r="A9" s="19" t="s">
        <v>530</v>
      </c>
      <c r="B9" s="19" t="s">
        <v>531</v>
      </c>
      <c r="C9" s="19" t="s">
        <v>532</v>
      </c>
      <c r="D9" s="6" t="s">
        <v>484</v>
      </c>
      <c r="E9" s="6" t="n">
        <v>15</v>
      </c>
      <c r="F9" s="19" t="s">
        <v>533</v>
      </c>
      <c r="G9" s="124" t="n">
        <f aca="false">E9/INDEX(Foods!$D$5:$D$40,MATCH(D9,Foods!$A$5:$A$40,0))*INDEX(Foods!$E$5:$E$40,MATCH(D9,Foods!$A$5:$A$40,0))</f>
        <v>85.05</v>
      </c>
      <c r="H9" s="124" t="n">
        <f aca="false">E9/INDEX(Foods!$D$5:$D$40,MATCH(D9,Foods!$A$5:$A$40,0))*INDEX(Foods!$F$5:$F$40,MATCH(D9,Foods!$A$5:$A$40,0))</f>
        <v>3.9</v>
      </c>
      <c r="I9" s="124" t="n">
        <f aca="false">E9/INDEX(Foods!$D$5:$D$40,MATCH(D9,Foods!$A$5:$A$40,0))*INDEX(Foods!$G$5:$G$40,MATCH(D9,Foods!$A$5:$A$40,0))</f>
        <v>2.4</v>
      </c>
      <c r="J9" s="124" t="n">
        <f aca="false">E9/INDEX(Foods!$D$5:$D$40,MATCH(D9,Foods!$A$5:$A$40,0))*INDEX(Foods!$H$5:$H$40,MATCH(D9,Foods!$A$5:$A$40,0))</f>
        <v>7.35</v>
      </c>
      <c r="K9" s="19"/>
    </row>
    <row r="10" customFormat="false" ht="15" hidden="false" customHeight="false" outlineLevel="0" collapsed="false">
      <c r="A10" s="19" t="s">
        <v>530</v>
      </c>
      <c r="B10" s="19" t="s">
        <v>536</v>
      </c>
      <c r="C10" s="19" t="s">
        <v>537</v>
      </c>
      <c r="D10" s="6" t="s">
        <v>508</v>
      </c>
      <c r="E10" s="6" t="n">
        <v>3</v>
      </c>
      <c r="F10" s="19" t="s">
        <v>535</v>
      </c>
      <c r="G10" s="124" t="n">
        <f aca="false">E10/INDEX(Foods!$D$5:$D$40,MATCH(D10,Foods!$A$5:$A$40,0))*INDEX(Foods!$E$5:$E$40,MATCH(D10,Foods!$A$5:$A$40,0))</f>
        <v>69</v>
      </c>
      <c r="H10" s="124" t="n">
        <f aca="false">E10/INDEX(Foods!$D$5:$D$40,MATCH(D10,Foods!$A$5:$A$40,0))*INDEX(Foods!$F$5:$F$40,MATCH(D10,Foods!$A$5:$A$40,0))</f>
        <v>0.6</v>
      </c>
      <c r="I10" s="124" t="n">
        <f aca="false">E10/INDEX(Foods!$D$5:$D$40,MATCH(D10,Foods!$A$5:$A$40,0))*INDEX(Foods!$G$5:$G$40,MATCH(D10,Foods!$A$5:$A$40,0))</f>
        <v>18</v>
      </c>
      <c r="J10" s="124" t="n">
        <f aca="false">E10/INDEX(Foods!$D$5:$D$40,MATCH(D10,Foods!$A$5:$A$40,0))*INDEX(Foods!$H$5:$H$40,MATCH(D10,Foods!$A$5:$A$40,0))</f>
        <v>0</v>
      </c>
      <c r="K10" s="19" t="s">
        <v>538</v>
      </c>
    </row>
    <row r="11" customFormat="false" ht="15" hidden="false" customHeight="false" outlineLevel="0" collapsed="false">
      <c r="A11" s="19" t="s">
        <v>530</v>
      </c>
      <c r="B11" s="19" t="s">
        <v>536</v>
      </c>
      <c r="C11" s="19" t="s">
        <v>537</v>
      </c>
      <c r="D11" s="6" t="s">
        <v>522</v>
      </c>
      <c r="E11" s="6" t="n">
        <v>1</v>
      </c>
      <c r="F11" s="19" t="s">
        <v>535</v>
      </c>
      <c r="G11" s="124" t="n">
        <f aca="false">E11/INDEX(Foods!$D$5:$D$40,MATCH(D11,Foods!$A$5:$A$40,0))*INDEX(Foods!$E$5:$E$40,MATCH(D11,Foods!$A$5:$A$40,0))</f>
        <v>60</v>
      </c>
      <c r="H11" s="124" t="n">
        <f aca="false">E11/INDEX(Foods!$D$5:$D$40,MATCH(D11,Foods!$A$5:$A$40,0))*INDEX(Foods!$F$5:$F$40,MATCH(D11,Foods!$A$5:$A$40,0))</f>
        <v>4</v>
      </c>
      <c r="I11" s="124" t="n">
        <f aca="false">E11/INDEX(Foods!$D$5:$D$40,MATCH(D11,Foods!$A$5:$A$40,0))*INDEX(Foods!$G$5:$G$40,MATCH(D11,Foods!$A$5:$A$40,0))</f>
        <v>6</v>
      </c>
      <c r="J11" s="124" t="n">
        <f aca="false">E11/INDEX(Foods!$D$5:$D$40,MATCH(D11,Foods!$A$5:$A$40,0))*INDEX(Foods!$H$5:$H$40,MATCH(D11,Foods!$A$5:$A$40,0))</f>
        <v>2</v>
      </c>
      <c r="K11" s="19"/>
    </row>
    <row r="12" customFormat="false" ht="15" hidden="false" customHeight="false" outlineLevel="0" collapsed="false">
      <c r="A12" s="19" t="s">
        <v>530</v>
      </c>
      <c r="B12" s="19" t="s">
        <v>539</v>
      </c>
      <c r="C12" s="19" t="s">
        <v>540</v>
      </c>
      <c r="D12" s="6" t="s">
        <v>458</v>
      </c>
      <c r="E12" s="6" t="n">
        <v>140</v>
      </c>
      <c r="F12" s="19" t="s">
        <v>533</v>
      </c>
      <c r="G12" s="124" t="n">
        <f aca="false">E12/INDEX(Foods!$D$5:$D$40,MATCH(D12,Foods!$A$5:$A$40,0))*INDEX(Foods!$E$5:$E$40,MATCH(D12,Foods!$A$5:$A$40,0))</f>
        <v>182</v>
      </c>
      <c r="H12" s="124" t="n">
        <f aca="false">E12/INDEX(Foods!$D$5:$D$40,MATCH(D12,Foods!$A$5:$A$40,0))*INDEX(Foods!$F$5:$F$40,MATCH(D12,Foods!$A$5:$A$40,0))</f>
        <v>3.78</v>
      </c>
      <c r="I12" s="124" t="n">
        <f aca="false">E12/INDEX(Foods!$D$5:$D$40,MATCH(D12,Foods!$A$5:$A$40,0))*INDEX(Foods!$G$5:$G$40,MATCH(D12,Foods!$A$5:$A$40,0))</f>
        <v>39.2</v>
      </c>
      <c r="J12" s="124" t="n">
        <f aca="false">E12/INDEX(Foods!$D$5:$D$40,MATCH(D12,Foods!$A$5:$A$40,0))*INDEX(Foods!$H$5:$H$40,MATCH(D12,Foods!$A$5:$A$40,0))</f>
        <v>0.42</v>
      </c>
      <c r="K12" s="19" t="s">
        <v>541</v>
      </c>
    </row>
    <row r="13" customFormat="false" ht="15" hidden="false" customHeight="false" outlineLevel="0" collapsed="false">
      <c r="A13" s="19" t="s">
        <v>530</v>
      </c>
      <c r="B13" s="19" t="s">
        <v>539</v>
      </c>
      <c r="C13" s="19" t="s">
        <v>540</v>
      </c>
      <c r="D13" s="6" t="s">
        <v>470</v>
      </c>
      <c r="E13" s="6" t="n">
        <v>170</v>
      </c>
      <c r="F13" s="19" t="s">
        <v>533</v>
      </c>
      <c r="G13" s="124" t="n">
        <f aca="false">E13/INDEX(Foods!$D$5:$D$40,MATCH(D13,Foods!$A$5:$A$40,0))*INDEX(Foods!$E$5:$E$40,MATCH(D13,Foods!$A$5:$A$40,0))</f>
        <v>280.5</v>
      </c>
      <c r="H13" s="124" t="n">
        <f aca="false">E13/INDEX(Foods!$D$5:$D$40,MATCH(D13,Foods!$A$5:$A$40,0))*INDEX(Foods!$F$5:$F$40,MATCH(D13,Foods!$A$5:$A$40,0))</f>
        <v>52.7</v>
      </c>
      <c r="I13" s="124" t="n">
        <f aca="false">E13/INDEX(Foods!$D$5:$D$40,MATCH(D13,Foods!$A$5:$A$40,0))*INDEX(Foods!$G$5:$G$40,MATCH(D13,Foods!$A$5:$A$40,0))</f>
        <v>0</v>
      </c>
      <c r="J13" s="124" t="n">
        <f aca="false">E13/INDEX(Foods!$D$5:$D$40,MATCH(D13,Foods!$A$5:$A$40,0))*INDEX(Foods!$H$5:$H$40,MATCH(D13,Foods!$A$5:$A$40,0))</f>
        <v>6.12</v>
      </c>
      <c r="K13" s="19"/>
    </row>
    <row r="14" customFormat="false" ht="15" hidden="false" customHeight="false" outlineLevel="0" collapsed="false">
      <c r="A14" s="19" t="s">
        <v>530</v>
      </c>
      <c r="B14" s="19" t="s">
        <v>539</v>
      </c>
      <c r="C14" s="19" t="s">
        <v>540</v>
      </c>
      <c r="D14" s="6" t="s">
        <v>466</v>
      </c>
      <c r="E14" s="6" t="n">
        <v>100</v>
      </c>
      <c r="F14" s="19" t="s">
        <v>533</v>
      </c>
      <c r="G14" s="124" t="n">
        <f aca="false">E14/INDEX(Foods!$D$5:$D$40,MATCH(D14,Foods!$A$5:$A$40,0))*INDEX(Foods!$E$5:$E$40,MATCH(D14,Foods!$A$5:$A$40,0))</f>
        <v>127</v>
      </c>
      <c r="H14" s="124" t="n">
        <f aca="false">E14/INDEX(Foods!$D$5:$D$40,MATCH(D14,Foods!$A$5:$A$40,0))*INDEX(Foods!$F$5:$F$40,MATCH(D14,Foods!$A$5:$A$40,0))</f>
        <v>8.7</v>
      </c>
      <c r="I14" s="124" t="n">
        <f aca="false">E14/INDEX(Foods!$D$5:$D$40,MATCH(D14,Foods!$A$5:$A$40,0))*INDEX(Foods!$G$5:$G$40,MATCH(D14,Foods!$A$5:$A$40,0))</f>
        <v>23</v>
      </c>
      <c r="J14" s="124" t="n">
        <f aca="false">E14/INDEX(Foods!$D$5:$D$40,MATCH(D14,Foods!$A$5:$A$40,0))*INDEX(Foods!$H$5:$H$40,MATCH(D14,Foods!$A$5:$A$40,0))</f>
        <v>0.5</v>
      </c>
      <c r="K14" s="19"/>
    </row>
    <row r="15" customFormat="false" ht="15" hidden="false" customHeight="false" outlineLevel="0" collapsed="false">
      <c r="A15" s="19" t="s">
        <v>530</v>
      </c>
      <c r="B15" s="19" t="s">
        <v>539</v>
      </c>
      <c r="C15" s="19" t="s">
        <v>540</v>
      </c>
      <c r="D15" s="6" t="s">
        <v>480</v>
      </c>
      <c r="E15" s="6" t="n">
        <v>150</v>
      </c>
      <c r="F15" s="19" t="s">
        <v>533</v>
      </c>
      <c r="G15" s="124" t="n">
        <f aca="false">E15/INDEX(Foods!$D$5:$D$40,MATCH(D15,Foods!$A$5:$A$40,0))*INDEX(Foods!$E$5:$E$40,MATCH(D15,Foods!$A$5:$A$40,0))</f>
        <v>37.5</v>
      </c>
      <c r="H15" s="124" t="n">
        <f aca="false">E15/INDEX(Foods!$D$5:$D$40,MATCH(D15,Foods!$A$5:$A$40,0))*INDEX(Foods!$F$5:$F$40,MATCH(D15,Foods!$A$5:$A$40,0))</f>
        <v>3.75</v>
      </c>
      <c r="I15" s="124" t="n">
        <f aca="false">E15/INDEX(Foods!$D$5:$D$40,MATCH(D15,Foods!$A$5:$A$40,0))*INDEX(Foods!$G$5:$G$40,MATCH(D15,Foods!$A$5:$A$40,0))</f>
        <v>6</v>
      </c>
      <c r="J15" s="124" t="n">
        <f aca="false">E15/INDEX(Foods!$D$5:$D$40,MATCH(D15,Foods!$A$5:$A$40,0))*INDEX(Foods!$H$5:$H$40,MATCH(D15,Foods!$A$5:$A$40,0))</f>
        <v>0.45</v>
      </c>
      <c r="K15" s="19"/>
    </row>
    <row r="16" customFormat="false" ht="15" hidden="false" customHeight="false" outlineLevel="0" collapsed="false">
      <c r="A16" s="19" t="s">
        <v>530</v>
      </c>
      <c r="B16" s="19" t="s">
        <v>539</v>
      </c>
      <c r="C16" s="19" t="s">
        <v>540</v>
      </c>
      <c r="D16" s="6" t="s">
        <v>482</v>
      </c>
      <c r="E16" s="6" t="n">
        <v>100</v>
      </c>
      <c r="F16" s="19" t="s">
        <v>533</v>
      </c>
      <c r="G16" s="124" t="n">
        <f aca="false">E16/INDEX(Foods!$D$5:$D$40,MATCH(D16,Foods!$A$5:$A$40,0))*INDEX(Foods!$E$5:$E$40,MATCH(D16,Foods!$A$5:$A$40,0))</f>
        <v>25</v>
      </c>
      <c r="H16" s="124" t="n">
        <f aca="false">E16/INDEX(Foods!$D$5:$D$40,MATCH(D16,Foods!$A$5:$A$40,0))*INDEX(Foods!$F$5:$F$40,MATCH(D16,Foods!$A$5:$A$40,0))</f>
        <v>1</v>
      </c>
      <c r="I16" s="124" t="n">
        <f aca="false">E16/INDEX(Foods!$D$5:$D$40,MATCH(D16,Foods!$A$5:$A$40,0))*INDEX(Foods!$G$5:$G$40,MATCH(D16,Foods!$A$5:$A$40,0))</f>
        <v>5</v>
      </c>
      <c r="J16" s="124" t="n">
        <f aca="false">E16/INDEX(Foods!$D$5:$D$40,MATCH(D16,Foods!$A$5:$A$40,0))*INDEX(Foods!$H$5:$H$40,MATCH(D16,Foods!$A$5:$A$40,0))</f>
        <v>0.2</v>
      </c>
      <c r="K16" s="19"/>
    </row>
    <row r="17" customFormat="false" ht="15" hidden="false" customHeight="false" outlineLevel="0" collapsed="false">
      <c r="A17" s="19" t="s">
        <v>530</v>
      </c>
      <c r="B17" s="19" t="s">
        <v>539</v>
      </c>
      <c r="C17" s="19" t="s">
        <v>540</v>
      </c>
      <c r="D17" s="6" t="s">
        <v>514</v>
      </c>
      <c r="E17" s="6" t="n">
        <v>2</v>
      </c>
      <c r="F17" s="19" t="s">
        <v>535</v>
      </c>
      <c r="G17" s="124" t="n">
        <f aca="false">E17/INDEX(Foods!$D$5:$D$40,MATCH(D17,Foods!$A$5:$A$40,0))*INDEX(Foods!$E$5:$E$40,MATCH(D17,Foods!$A$5:$A$40,0))</f>
        <v>80</v>
      </c>
      <c r="H17" s="124" t="n">
        <f aca="false">E17/INDEX(Foods!$D$5:$D$40,MATCH(D17,Foods!$A$5:$A$40,0))*INDEX(Foods!$F$5:$F$40,MATCH(D17,Foods!$A$5:$A$40,0))</f>
        <v>0</v>
      </c>
      <c r="I17" s="124" t="n">
        <f aca="false">E17/INDEX(Foods!$D$5:$D$40,MATCH(D17,Foods!$A$5:$A$40,0))*INDEX(Foods!$G$5:$G$40,MATCH(D17,Foods!$A$5:$A$40,0))</f>
        <v>0</v>
      </c>
      <c r="J17" s="124" t="n">
        <f aca="false">E17/INDEX(Foods!$D$5:$D$40,MATCH(D17,Foods!$A$5:$A$40,0))*INDEX(Foods!$H$5:$H$40,MATCH(D17,Foods!$A$5:$A$40,0))</f>
        <v>9</v>
      </c>
      <c r="K17" s="19"/>
    </row>
    <row r="18" customFormat="false" ht="15" hidden="false" customHeight="false" outlineLevel="0" collapsed="false">
      <c r="A18" s="19" t="s">
        <v>530</v>
      </c>
      <c r="B18" s="19" t="s">
        <v>542</v>
      </c>
      <c r="C18" s="19" t="s">
        <v>543</v>
      </c>
      <c r="D18" s="6" t="s">
        <v>512</v>
      </c>
      <c r="E18" s="6" t="n">
        <v>1</v>
      </c>
      <c r="F18" s="19" t="s">
        <v>535</v>
      </c>
      <c r="G18" s="124" t="n">
        <f aca="false">E18/INDEX(Foods!$D$5:$D$40,MATCH(D18,Foods!$A$5:$A$40,0))*INDEX(Foods!$E$5:$E$40,MATCH(D18,Foods!$A$5:$A$40,0))</f>
        <v>150</v>
      </c>
      <c r="H18" s="124" t="n">
        <f aca="false">E18/INDEX(Foods!$D$5:$D$40,MATCH(D18,Foods!$A$5:$A$40,0))*INDEX(Foods!$F$5:$F$40,MATCH(D18,Foods!$A$5:$A$40,0))</f>
        <v>8.5</v>
      </c>
      <c r="I18" s="124" t="n">
        <f aca="false">E18/INDEX(Foods!$D$5:$D$40,MATCH(D18,Foods!$A$5:$A$40,0))*INDEX(Foods!$G$5:$G$40,MATCH(D18,Foods!$A$5:$A$40,0))</f>
        <v>11</v>
      </c>
      <c r="J18" s="124" t="n">
        <f aca="false">E18/INDEX(Foods!$D$5:$D$40,MATCH(D18,Foods!$A$5:$A$40,0))*INDEX(Foods!$H$5:$H$40,MATCH(D18,Foods!$A$5:$A$40,0))</f>
        <v>8</v>
      </c>
      <c r="K18" s="19" t="s">
        <v>544</v>
      </c>
    </row>
    <row r="19" customFormat="false" ht="15" hidden="false" customHeight="false" outlineLevel="0" collapsed="false">
      <c r="A19" s="19" t="s">
        <v>530</v>
      </c>
      <c r="B19" s="19" t="s">
        <v>542</v>
      </c>
      <c r="C19" s="19" t="s">
        <v>543</v>
      </c>
      <c r="D19" s="6" t="s">
        <v>495</v>
      </c>
      <c r="E19" s="6" t="n">
        <v>100</v>
      </c>
      <c r="F19" s="19" t="s">
        <v>533</v>
      </c>
      <c r="G19" s="124" t="n">
        <f aca="false">E19/INDEX(Foods!$D$5:$D$40,MATCH(D19,Foods!$A$5:$A$40,0))*INDEX(Foods!$E$5:$E$40,MATCH(D19,Foods!$A$5:$A$40,0))</f>
        <v>43</v>
      </c>
      <c r="H19" s="124" t="n">
        <f aca="false">E19/INDEX(Foods!$D$5:$D$40,MATCH(D19,Foods!$A$5:$A$40,0))*INDEX(Foods!$F$5:$F$40,MATCH(D19,Foods!$A$5:$A$40,0))</f>
        <v>0.5</v>
      </c>
      <c r="I19" s="124" t="n">
        <f aca="false">E19/INDEX(Foods!$D$5:$D$40,MATCH(D19,Foods!$A$5:$A$40,0))*INDEX(Foods!$G$5:$G$40,MATCH(D19,Foods!$A$5:$A$40,0))</f>
        <v>11</v>
      </c>
      <c r="J19" s="124" t="n">
        <f aca="false">E19/INDEX(Foods!$D$5:$D$40,MATCH(D19,Foods!$A$5:$A$40,0))*INDEX(Foods!$H$5:$H$40,MATCH(D19,Foods!$A$5:$A$40,0))</f>
        <v>0.3</v>
      </c>
      <c r="K19" s="19"/>
    </row>
    <row r="20" customFormat="false" ht="15" hidden="false" customHeight="false" outlineLevel="0" collapsed="false">
      <c r="A20" s="19" t="s">
        <v>545</v>
      </c>
      <c r="B20" s="19" t="s">
        <v>546</v>
      </c>
      <c r="C20" s="19" t="s">
        <v>547</v>
      </c>
      <c r="D20" s="6" t="s">
        <v>507</v>
      </c>
      <c r="E20" s="6" t="n">
        <v>1</v>
      </c>
      <c r="F20" s="19" t="s">
        <v>535</v>
      </c>
      <c r="G20" s="124" t="n">
        <f aca="false">E20/INDEX(Foods!$D$5:$D$40,MATCH(D20,Foods!$A$5:$A$40,0))*INDEX(Foods!$E$5:$E$40,MATCH(D20,Foods!$A$5:$A$40,0))</f>
        <v>105</v>
      </c>
      <c r="H20" s="124" t="n">
        <f aca="false">E20/INDEX(Foods!$D$5:$D$40,MATCH(D20,Foods!$A$5:$A$40,0))*INDEX(Foods!$F$5:$F$40,MATCH(D20,Foods!$A$5:$A$40,0))</f>
        <v>1.3</v>
      </c>
      <c r="I20" s="124" t="n">
        <f aca="false">E20/INDEX(Foods!$D$5:$D$40,MATCH(D20,Foods!$A$5:$A$40,0))*INDEX(Foods!$G$5:$G$40,MATCH(D20,Foods!$A$5:$A$40,0))</f>
        <v>27</v>
      </c>
      <c r="J20" s="124" t="n">
        <f aca="false">E20/INDEX(Foods!$D$5:$D$40,MATCH(D20,Foods!$A$5:$A$40,0))*INDEX(Foods!$H$5:$H$40,MATCH(D20,Foods!$A$5:$A$40,0))</f>
        <v>0.4</v>
      </c>
      <c r="K20" s="19" t="s">
        <v>548</v>
      </c>
    </row>
    <row r="21" customFormat="false" ht="15" hidden="false" customHeight="false" outlineLevel="0" collapsed="false">
      <c r="A21" s="19" t="s">
        <v>545</v>
      </c>
      <c r="B21" s="19" t="s">
        <v>549</v>
      </c>
      <c r="C21" s="19" t="s">
        <v>550</v>
      </c>
      <c r="D21" s="6" t="s">
        <v>505</v>
      </c>
      <c r="E21" s="6" t="n">
        <v>3</v>
      </c>
      <c r="F21" s="19" t="s">
        <v>535</v>
      </c>
      <c r="G21" s="124" t="n">
        <f aca="false">E21/INDEX(Foods!$D$5:$D$40,MATCH(D21,Foods!$A$5:$A$40,0))*INDEX(Foods!$E$5:$E$40,MATCH(D21,Foods!$A$5:$A$40,0))</f>
        <v>216</v>
      </c>
      <c r="H21" s="124" t="n">
        <f aca="false">E21/INDEX(Foods!$D$5:$D$40,MATCH(D21,Foods!$A$5:$A$40,0))*INDEX(Foods!$F$5:$F$40,MATCH(D21,Foods!$A$5:$A$40,0))</f>
        <v>18.9</v>
      </c>
      <c r="I21" s="124" t="n">
        <f aca="false">E21/INDEX(Foods!$D$5:$D$40,MATCH(D21,Foods!$A$5:$A$40,0))*INDEX(Foods!$G$5:$G$40,MATCH(D21,Foods!$A$5:$A$40,0))</f>
        <v>1.2</v>
      </c>
      <c r="J21" s="124" t="n">
        <f aca="false">E21/INDEX(Foods!$D$5:$D$40,MATCH(D21,Foods!$A$5:$A$40,0))*INDEX(Foods!$H$5:$H$40,MATCH(D21,Foods!$A$5:$A$40,0))</f>
        <v>14.4</v>
      </c>
      <c r="K21" s="19" t="s">
        <v>551</v>
      </c>
    </row>
    <row r="22" customFormat="false" ht="15" hidden="false" customHeight="false" outlineLevel="0" collapsed="false">
      <c r="A22" s="19" t="s">
        <v>545</v>
      </c>
      <c r="B22" s="19" t="s">
        <v>549</v>
      </c>
      <c r="C22" s="19" t="s">
        <v>550</v>
      </c>
      <c r="D22" s="6" t="s">
        <v>503</v>
      </c>
      <c r="E22" s="6" t="n">
        <v>80</v>
      </c>
      <c r="F22" s="19" t="s">
        <v>533</v>
      </c>
      <c r="G22" s="124" t="n">
        <f aca="false">E22/INDEX(Foods!$D$5:$D$40,MATCH(D22,Foods!$A$5:$A$40,0))*INDEX(Foods!$E$5:$E$40,MATCH(D22,Foods!$A$5:$A$40,0))</f>
        <v>20</v>
      </c>
      <c r="H22" s="124" t="n">
        <f aca="false">E22/INDEX(Foods!$D$5:$D$40,MATCH(D22,Foods!$A$5:$A$40,0))*INDEX(Foods!$F$5:$F$40,MATCH(D22,Foods!$A$5:$A$40,0))</f>
        <v>0.8</v>
      </c>
      <c r="I22" s="124" t="n">
        <f aca="false">E22/INDEX(Foods!$D$5:$D$40,MATCH(D22,Foods!$A$5:$A$40,0))*INDEX(Foods!$G$5:$G$40,MATCH(D22,Foods!$A$5:$A$40,0))</f>
        <v>4</v>
      </c>
      <c r="J22" s="124" t="n">
        <f aca="false">E22/INDEX(Foods!$D$5:$D$40,MATCH(D22,Foods!$A$5:$A$40,0))*INDEX(Foods!$H$5:$H$40,MATCH(D22,Foods!$A$5:$A$40,0))</f>
        <v>0.16</v>
      </c>
      <c r="K22" s="19"/>
    </row>
    <row r="23" customFormat="false" ht="15" hidden="false" customHeight="false" outlineLevel="0" collapsed="false">
      <c r="A23" s="19" t="s">
        <v>545</v>
      </c>
      <c r="B23" s="19" t="s">
        <v>549</v>
      </c>
      <c r="C23" s="19" t="s">
        <v>550</v>
      </c>
      <c r="D23" s="6" t="s">
        <v>460</v>
      </c>
      <c r="E23" s="6" t="n">
        <v>150</v>
      </c>
      <c r="F23" s="19" t="s">
        <v>533</v>
      </c>
      <c r="G23" s="124" t="n">
        <f aca="false">E23/INDEX(Foods!$D$5:$D$40,MATCH(D23,Foods!$A$5:$A$40,0))*INDEX(Foods!$E$5:$E$40,MATCH(D23,Foods!$A$5:$A$40,0))</f>
        <v>129</v>
      </c>
      <c r="H23" s="124" t="n">
        <f aca="false">E23/INDEX(Foods!$D$5:$D$40,MATCH(D23,Foods!$A$5:$A$40,0))*INDEX(Foods!$F$5:$F$40,MATCH(D23,Foods!$A$5:$A$40,0))</f>
        <v>2.4</v>
      </c>
      <c r="I23" s="124" t="n">
        <f aca="false">E23/INDEX(Foods!$D$5:$D$40,MATCH(D23,Foods!$A$5:$A$40,0))*INDEX(Foods!$G$5:$G$40,MATCH(D23,Foods!$A$5:$A$40,0))</f>
        <v>30</v>
      </c>
      <c r="J23" s="124" t="n">
        <f aca="false">E23/INDEX(Foods!$D$5:$D$40,MATCH(D23,Foods!$A$5:$A$40,0))*INDEX(Foods!$H$5:$H$40,MATCH(D23,Foods!$A$5:$A$40,0))</f>
        <v>0.15</v>
      </c>
      <c r="K23" s="19"/>
    </row>
    <row r="24" customFormat="false" ht="15" hidden="false" customHeight="false" outlineLevel="0" collapsed="false">
      <c r="A24" s="19" t="s">
        <v>545</v>
      </c>
      <c r="B24" s="19" t="s">
        <v>549</v>
      </c>
      <c r="C24" s="19" t="s">
        <v>550</v>
      </c>
      <c r="D24" s="6" t="s">
        <v>501</v>
      </c>
      <c r="E24" s="6" t="n">
        <v>130</v>
      </c>
      <c r="F24" s="19" t="s">
        <v>533</v>
      </c>
      <c r="G24" s="124" t="n">
        <f aca="false">E24/INDEX(Foods!$D$5:$D$40,MATCH(D24,Foods!$A$5:$A$40,0))*INDEX(Foods!$E$5:$E$40,MATCH(D24,Foods!$A$5:$A$40,0))</f>
        <v>61.1</v>
      </c>
      <c r="H24" s="124" t="n">
        <f aca="false">E24/INDEX(Foods!$D$5:$D$40,MATCH(D24,Foods!$A$5:$A$40,0))*INDEX(Foods!$F$5:$F$40,MATCH(D24,Foods!$A$5:$A$40,0))</f>
        <v>1.17</v>
      </c>
      <c r="I24" s="124" t="n">
        <f aca="false">E24/INDEX(Foods!$D$5:$D$40,MATCH(D24,Foods!$A$5:$A$40,0))*INDEX(Foods!$G$5:$G$40,MATCH(D24,Foods!$A$5:$A$40,0))</f>
        <v>15.6</v>
      </c>
      <c r="J24" s="124" t="n">
        <f aca="false">E24/INDEX(Foods!$D$5:$D$40,MATCH(D24,Foods!$A$5:$A$40,0))*INDEX(Foods!$H$5:$H$40,MATCH(D24,Foods!$A$5:$A$40,0))</f>
        <v>0.13</v>
      </c>
      <c r="K24" s="19"/>
    </row>
    <row r="25" customFormat="false" ht="15" hidden="false" customHeight="false" outlineLevel="0" collapsed="false">
      <c r="A25" s="19" t="s">
        <v>545</v>
      </c>
      <c r="B25" s="19" t="s">
        <v>552</v>
      </c>
      <c r="C25" s="19" t="s">
        <v>553</v>
      </c>
      <c r="D25" s="6" t="s">
        <v>512</v>
      </c>
      <c r="E25" s="6" t="n">
        <v>1</v>
      </c>
      <c r="F25" s="19" t="s">
        <v>535</v>
      </c>
      <c r="G25" s="124" t="n">
        <f aca="false">E25/INDEX(Foods!$D$5:$D$40,MATCH(D25,Foods!$A$5:$A$40,0))*INDEX(Foods!$E$5:$E$40,MATCH(D25,Foods!$A$5:$A$40,0))</f>
        <v>150</v>
      </c>
      <c r="H25" s="124" t="n">
        <f aca="false">E25/INDEX(Foods!$D$5:$D$40,MATCH(D25,Foods!$A$5:$A$40,0))*INDEX(Foods!$F$5:$F$40,MATCH(D25,Foods!$A$5:$A$40,0))</f>
        <v>8.5</v>
      </c>
      <c r="I25" s="124" t="n">
        <f aca="false">E25/INDEX(Foods!$D$5:$D$40,MATCH(D25,Foods!$A$5:$A$40,0))*INDEX(Foods!$G$5:$G$40,MATCH(D25,Foods!$A$5:$A$40,0))</f>
        <v>11</v>
      </c>
      <c r="J25" s="124" t="n">
        <f aca="false">E25/INDEX(Foods!$D$5:$D$40,MATCH(D25,Foods!$A$5:$A$40,0))*INDEX(Foods!$H$5:$H$40,MATCH(D25,Foods!$A$5:$A$40,0))</f>
        <v>8</v>
      </c>
      <c r="K25" s="19"/>
    </row>
    <row r="26" customFormat="false" ht="15" hidden="false" customHeight="false" outlineLevel="0" collapsed="false">
      <c r="A26" s="19" t="s">
        <v>545</v>
      </c>
      <c r="B26" s="19" t="s">
        <v>552</v>
      </c>
      <c r="C26" s="19" t="s">
        <v>553</v>
      </c>
      <c r="D26" s="6" t="s">
        <v>484</v>
      </c>
      <c r="E26" s="6" t="n">
        <v>20</v>
      </c>
      <c r="F26" s="19" t="s">
        <v>533</v>
      </c>
      <c r="G26" s="124" t="n">
        <f aca="false">E26/INDEX(Foods!$D$5:$D$40,MATCH(D26,Foods!$A$5:$A$40,0))*INDEX(Foods!$E$5:$E$40,MATCH(D26,Foods!$A$5:$A$40,0))</f>
        <v>113.4</v>
      </c>
      <c r="H26" s="124" t="n">
        <f aca="false">E26/INDEX(Foods!$D$5:$D$40,MATCH(D26,Foods!$A$5:$A$40,0))*INDEX(Foods!$F$5:$F$40,MATCH(D26,Foods!$A$5:$A$40,0))</f>
        <v>5.2</v>
      </c>
      <c r="I26" s="124" t="n">
        <f aca="false">E26/INDEX(Foods!$D$5:$D$40,MATCH(D26,Foods!$A$5:$A$40,0))*INDEX(Foods!$G$5:$G$40,MATCH(D26,Foods!$A$5:$A$40,0))</f>
        <v>3.2</v>
      </c>
      <c r="J26" s="124" t="n">
        <f aca="false">E26/INDEX(Foods!$D$5:$D$40,MATCH(D26,Foods!$A$5:$A$40,0))*INDEX(Foods!$H$5:$H$40,MATCH(D26,Foods!$A$5:$A$40,0))</f>
        <v>9.8</v>
      </c>
      <c r="K26" s="19"/>
    </row>
    <row r="27" customFormat="false" ht="15" hidden="false" customHeight="false" outlineLevel="0" collapsed="false">
      <c r="A27" s="19" t="s">
        <v>545</v>
      </c>
      <c r="B27" s="19" t="s">
        <v>554</v>
      </c>
      <c r="C27" s="19" t="s">
        <v>555</v>
      </c>
      <c r="D27" s="6" t="s">
        <v>458</v>
      </c>
      <c r="E27" s="6" t="n">
        <v>150</v>
      </c>
      <c r="F27" s="19" t="s">
        <v>533</v>
      </c>
      <c r="G27" s="124" t="n">
        <f aca="false">E27/INDEX(Foods!$D$5:$D$40,MATCH(D27,Foods!$A$5:$A$40,0))*INDEX(Foods!$E$5:$E$40,MATCH(D27,Foods!$A$5:$A$40,0))</f>
        <v>195</v>
      </c>
      <c r="H27" s="124" t="n">
        <f aca="false">E27/INDEX(Foods!$D$5:$D$40,MATCH(D27,Foods!$A$5:$A$40,0))*INDEX(Foods!$F$5:$F$40,MATCH(D27,Foods!$A$5:$A$40,0))</f>
        <v>4.05</v>
      </c>
      <c r="I27" s="124" t="n">
        <f aca="false">E27/INDEX(Foods!$D$5:$D$40,MATCH(D27,Foods!$A$5:$A$40,0))*INDEX(Foods!$G$5:$G$40,MATCH(D27,Foods!$A$5:$A$40,0))</f>
        <v>42</v>
      </c>
      <c r="J27" s="124" t="n">
        <f aca="false">E27/INDEX(Foods!$D$5:$D$40,MATCH(D27,Foods!$A$5:$A$40,0))*INDEX(Foods!$H$5:$H$40,MATCH(D27,Foods!$A$5:$A$40,0))</f>
        <v>0.45</v>
      </c>
      <c r="K27" s="19"/>
    </row>
    <row r="28" customFormat="false" ht="15" hidden="false" customHeight="false" outlineLevel="0" collapsed="false">
      <c r="A28" s="19" t="s">
        <v>545</v>
      </c>
      <c r="B28" s="19" t="s">
        <v>554</v>
      </c>
      <c r="C28" s="19" t="s">
        <v>555</v>
      </c>
      <c r="D28" s="6" t="s">
        <v>472</v>
      </c>
      <c r="E28" s="6" t="n">
        <v>170</v>
      </c>
      <c r="F28" s="19" t="s">
        <v>533</v>
      </c>
      <c r="G28" s="124" t="n">
        <f aca="false">E28/INDEX(Foods!$D$5:$D$40,MATCH(D28,Foods!$A$5:$A$40,0))*INDEX(Foods!$E$5:$E$40,MATCH(D28,Foods!$A$5:$A$40,0))</f>
        <v>217.6</v>
      </c>
      <c r="H28" s="124" t="n">
        <f aca="false">E28/INDEX(Foods!$D$5:$D$40,MATCH(D28,Foods!$A$5:$A$40,0))*INDEX(Foods!$F$5:$F$40,MATCH(D28,Foods!$A$5:$A$40,0))</f>
        <v>44.2</v>
      </c>
      <c r="I28" s="124" t="n">
        <f aca="false">E28/INDEX(Foods!$D$5:$D$40,MATCH(D28,Foods!$A$5:$A$40,0))*INDEX(Foods!$G$5:$G$40,MATCH(D28,Foods!$A$5:$A$40,0))</f>
        <v>0</v>
      </c>
      <c r="J28" s="124" t="n">
        <f aca="false">E28/INDEX(Foods!$D$5:$D$40,MATCH(D28,Foods!$A$5:$A$40,0))*INDEX(Foods!$H$5:$H$40,MATCH(D28,Foods!$A$5:$A$40,0))</f>
        <v>4.59</v>
      </c>
      <c r="K28" s="19"/>
    </row>
    <row r="29" customFormat="false" ht="15" hidden="false" customHeight="false" outlineLevel="0" collapsed="false">
      <c r="A29" s="19" t="s">
        <v>545</v>
      </c>
      <c r="B29" s="19" t="s">
        <v>554</v>
      </c>
      <c r="C29" s="19" t="s">
        <v>555</v>
      </c>
      <c r="D29" s="6" t="s">
        <v>480</v>
      </c>
      <c r="E29" s="6" t="n">
        <v>150</v>
      </c>
      <c r="F29" s="19" t="s">
        <v>533</v>
      </c>
      <c r="G29" s="124" t="n">
        <f aca="false">E29/INDEX(Foods!$D$5:$D$40,MATCH(D29,Foods!$A$5:$A$40,0))*INDEX(Foods!$E$5:$E$40,MATCH(D29,Foods!$A$5:$A$40,0))</f>
        <v>37.5</v>
      </c>
      <c r="H29" s="124" t="n">
        <f aca="false">E29/INDEX(Foods!$D$5:$D$40,MATCH(D29,Foods!$A$5:$A$40,0))*INDEX(Foods!$F$5:$F$40,MATCH(D29,Foods!$A$5:$A$40,0))</f>
        <v>3.75</v>
      </c>
      <c r="I29" s="124" t="n">
        <f aca="false">E29/INDEX(Foods!$D$5:$D$40,MATCH(D29,Foods!$A$5:$A$40,0))*INDEX(Foods!$G$5:$G$40,MATCH(D29,Foods!$A$5:$A$40,0))</f>
        <v>6</v>
      </c>
      <c r="J29" s="124" t="n">
        <f aca="false">E29/INDEX(Foods!$D$5:$D$40,MATCH(D29,Foods!$A$5:$A$40,0))*INDEX(Foods!$H$5:$H$40,MATCH(D29,Foods!$A$5:$A$40,0))</f>
        <v>0.45</v>
      </c>
      <c r="K29" s="19"/>
    </row>
    <row r="30" customFormat="false" ht="15" hidden="false" customHeight="false" outlineLevel="0" collapsed="false">
      <c r="A30" s="19" t="s">
        <v>545</v>
      </c>
      <c r="B30" s="19" t="s">
        <v>554</v>
      </c>
      <c r="C30" s="19" t="s">
        <v>555</v>
      </c>
      <c r="D30" s="6" t="s">
        <v>482</v>
      </c>
      <c r="E30" s="6" t="n">
        <v>100</v>
      </c>
      <c r="F30" s="19" t="s">
        <v>533</v>
      </c>
      <c r="G30" s="124" t="n">
        <f aca="false">E30/INDEX(Foods!$D$5:$D$40,MATCH(D30,Foods!$A$5:$A$40,0))*INDEX(Foods!$E$5:$E$40,MATCH(D30,Foods!$A$5:$A$40,0))</f>
        <v>25</v>
      </c>
      <c r="H30" s="124" t="n">
        <f aca="false">E30/INDEX(Foods!$D$5:$D$40,MATCH(D30,Foods!$A$5:$A$40,0))*INDEX(Foods!$F$5:$F$40,MATCH(D30,Foods!$A$5:$A$40,0))</f>
        <v>1</v>
      </c>
      <c r="I30" s="124" t="n">
        <f aca="false">E30/INDEX(Foods!$D$5:$D$40,MATCH(D30,Foods!$A$5:$A$40,0))*INDEX(Foods!$G$5:$G$40,MATCH(D30,Foods!$A$5:$A$40,0))</f>
        <v>5</v>
      </c>
      <c r="J30" s="124" t="n">
        <f aca="false">E30/INDEX(Foods!$D$5:$D$40,MATCH(D30,Foods!$A$5:$A$40,0))*INDEX(Foods!$H$5:$H$40,MATCH(D30,Foods!$A$5:$A$40,0))</f>
        <v>0.2</v>
      </c>
      <c r="K30" s="19"/>
    </row>
    <row r="31" customFormat="false" ht="15" hidden="false" customHeight="false" outlineLevel="0" collapsed="false">
      <c r="A31" s="19" t="s">
        <v>545</v>
      </c>
      <c r="B31" s="19" t="s">
        <v>554</v>
      </c>
      <c r="C31" s="19" t="s">
        <v>555</v>
      </c>
      <c r="D31" s="6" t="s">
        <v>514</v>
      </c>
      <c r="E31" s="6" t="n">
        <v>2</v>
      </c>
      <c r="F31" s="19" t="s">
        <v>535</v>
      </c>
      <c r="G31" s="124" t="n">
        <f aca="false">E31/INDEX(Foods!$D$5:$D$40,MATCH(D31,Foods!$A$5:$A$40,0))*INDEX(Foods!$E$5:$E$40,MATCH(D31,Foods!$A$5:$A$40,0))</f>
        <v>80</v>
      </c>
      <c r="H31" s="124" t="n">
        <f aca="false">E31/INDEX(Foods!$D$5:$D$40,MATCH(D31,Foods!$A$5:$A$40,0))*INDEX(Foods!$F$5:$F$40,MATCH(D31,Foods!$A$5:$A$40,0))</f>
        <v>0</v>
      </c>
      <c r="I31" s="124" t="n">
        <f aca="false">E31/INDEX(Foods!$D$5:$D$40,MATCH(D31,Foods!$A$5:$A$40,0))*INDEX(Foods!$G$5:$G$40,MATCH(D31,Foods!$A$5:$A$40,0))</f>
        <v>0</v>
      </c>
      <c r="J31" s="124" t="n">
        <f aca="false">E31/INDEX(Foods!$D$5:$D$40,MATCH(D31,Foods!$A$5:$A$40,0))*INDEX(Foods!$H$5:$H$40,MATCH(D31,Foods!$A$5:$A$40,0))</f>
        <v>9</v>
      </c>
      <c r="K31" s="19"/>
    </row>
    <row r="32" customFormat="false" ht="15" hidden="false" customHeight="false" outlineLevel="0" collapsed="false">
      <c r="A32" s="19" t="s">
        <v>545</v>
      </c>
      <c r="B32" s="19" t="s">
        <v>556</v>
      </c>
      <c r="C32" s="19" t="s">
        <v>557</v>
      </c>
      <c r="D32" s="6" t="s">
        <v>507</v>
      </c>
      <c r="E32" s="6" t="n">
        <v>1</v>
      </c>
      <c r="F32" s="19" t="s">
        <v>535</v>
      </c>
      <c r="G32" s="124" t="n">
        <f aca="false">E32/INDEX(Foods!$D$5:$D$40,MATCH(D32,Foods!$A$5:$A$40,0))*INDEX(Foods!$E$5:$E$40,MATCH(D32,Foods!$A$5:$A$40,0))</f>
        <v>105</v>
      </c>
      <c r="H32" s="124" t="n">
        <f aca="false">E32/INDEX(Foods!$D$5:$D$40,MATCH(D32,Foods!$A$5:$A$40,0))*INDEX(Foods!$F$5:$F$40,MATCH(D32,Foods!$A$5:$A$40,0))</f>
        <v>1.3</v>
      </c>
      <c r="I32" s="124" t="n">
        <f aca="false">E32/INDEX(Foods!$D$5:$D$40,MATCH(D32,Foods!$A$5:$A$40,0))*INDEX(Foods!$G$5:$G$40,MATCH(D32,Foods!$A$5:$A$40,0))</f>
        <v>27</v>
      </c>
      <c r="J32" s="124" t="n">
        <f aca="false">E32/INDEX(Foods!$D$5:$D$40,MATCH(D32,Foods!$A$5:$A$40,0))*INDEX(Foods!$H$5:$H$40,MATCH(D32,Foods!$A$5:$A$40,0))</f>
        <v>0.4</v>
      </c>
      <c r="K32" s="19" t="s">
        <v>558</v>
      </c>
    </row>
    <row r="33" customFormat="false" ht="15" hidden="false" customHeight="false" outlineLevel="0" collapsed="false">
      <c r="A33" s="19" t="s">
        <v>545</v>
      </c>
      <c r="B33" s="19" t="s">
        <v>559</v>
      </c>
      <c r="C33" s="19" t="s">
        <v>560</v>
      </c>
      <c r="D33" s="6" t="s">
        <v>456</v>
      </c>
      <c r="E33" s="6" t="n">
        <v>200</v>
      </c>
      <c r="F33" s="19" t="s">
        <v>533</v>
      </c>
      <c r="G33" s="124" t="n">
        <f aca="false">E33/INDEX(Foods!$D$5:$D$40,MATCH(D33,Foods!$A$5:$A$40,0))*INDEX(Foods!$E$5:$E$40,MATCH(D33,Foods!$A$5:$A$40,0))</f>
        <v>230</v>
      </c>
      <c r="H33" s="124" t="n">
        <f aca="false">E33/INDEX(Foods!$D$5:$D$40,MATCH(D33,Foods!$A$5:$A$40,0))*INDEX(Foods!$F$5:$F$40,MATCH(D33,Foods!$A$5:$A$40,0))</f>
        <v>5</v>
      </c>
      <c r="I33" s="124" t="n">
        <f aca="false">E33/INDEX(Foods!$D$5:$D$40,MATCH(D33,Foods!$A$5:$A$40,0))*INDEX(Foods!$G$5:$G$40,MATCH(D33,Foods!$A$5:$A$40,0))</f>
        <v>50</v>
      </c>
      <c r="J33" s="124" t="n">
        <f aca="false">E33/INDEX(Foods!$D$5:$D$40,MATCH(D33,Foods!$A$5:$A$40,0))*INDEX(Foods!$H$5:$H$40,MATCH(D33,Foods!$A$5:$A$40,0))</f>
        <v>1</v>
      </c>
      <c r="K33" s="19"/>
    </row>
    <row r="34" customFormat="false" ht="15" hidden="false" customHeight="false" outlineLevel="0" collapsed="false">
      <c r="A34" s="19" t="s">
        <v>545</v>
      </c>
      <c r="B34" s="19" t="s">
        <v>559</v>
      </c>
      <c r="C34" s="19" t="s">
        <v>560</v>
      </c>
      <c r="D34" s="6" t="s">
        <v>474</v>
      </c>
      <c r="E34" s="6" t="n">
        <v>120</v>
      </c>
      <c r="F34" s="19" t="s">
        <v>533</v>
      </c>
      <c r="G34" s="124" t="n">
        <f aca="false">E34/INDEX(Foods!$D$5:$D$40,MATCH(D34,Foods!$A$5:$A$40,0))*INDEX(Foods!$E$5:$E$40,MATCH(D34,Foods!$A$5:$A$40,0))</f>
        <v>240</v>
      </c>
      <c r="H34" s="124" t="n">
        <f aca="false">E34/INDEX(Foods!$D$5:$D$40,MATCH(D34,Foods!$A$5:$A$40,0))*INDEX(Foods!$F$5:$F$40,MATCH(D34,Foods!$A$5:$A$40,0))</f>
        <v>33.6</v>
      </c>
      <c r="I34" s="124" t="n">
        <f aca="false">E34/INDEX(Foods!$D$5:$D$40,MATCH(D34,Foods!$A$5:$A$40,0))*INDEX(Foods!$G$5:$G$40,MATCH(D34,Foods!$A$5:$A$40,0))</f>
        <v>0</v>
      </c>
      <c r="J34" s="124" t="n">
        <f aca="false">E34/INDEX(Foods!$D$5:$D$40,MATCH(D34,Foods!$A$5:$A$40,0))*INDEX(Foods!$H$5:$H$40,MATCH(D34,Foods!$A$5:$A$40,0))</f>
        <v>10.8</v>
      </c>
      <c r="K34" s="19"/>
    </row>
    <row r="35" customFormat="false" ht="15" hidden="false" customHeight="false" outlineLevel="0" collapsed="false">
      <c r="A35" s="19" t="s">
        <v>545</v>
      </c>
      <c r="B35" s="19" t="s">
        <v>559</v>
      </c>
      <c r="C35" s="19" t="s">
        <v>560</v>
      </c>
      <c r="D35" s="6" t="s">
        <v>480</v>
      </c>
      <c r="E35" s="6" t="n">
        <v>150</v>
      </c>
      <c r="F35" s="19" t="s">
        <v>533</v>
      </c>
      <c r="G35" s="124" t="n">
        <f aca="false">E35/INDEX(Foods!$D$5:$D$40,MATCH(D35,Foods!$A$5:$A$40,0))*INDEX(Foods!$E$5:$E$40,MATCH(D35,Foods!$A$5:$A$40,0))</f>
        <v>37.5</v>
      </c>
      <c r="H35" s="124" t="n">
        <f aca="false">E35/INDEX(Foods!$D$5:$D$40,MATCH(D35,Foods!$A$5:$A$40,0))*INDEX(Foods!$F$5:$F$40,MATCH(D35,Foods!$A$5:$A$40,0))</f>
        <v>3.75</v>
      </c>
      <c r="I35" s="124" t="n">
        <f aca="false">E35/INDEX(Foods!$D$5:$D$40,MATCH(D35,Foods!$A$5:$A$40,0))*INDEX(Foods!$G$5:$G$40,MATCH(D35,Foods!$A$5:$A$40,0))</f>
        <v>6</v>
      </c>
      <c r="J35" s="124" t="n">
        <f aca="false">E35/INDEX(Foods!$D$5:$D$40,MATCH(D35,Foods!$A$5:$A$40,0))*INDEX(Foods!$H$5:$H$40,MATCH(D35,Foods!$A$5:$A$40,0))</f>
        <v>0.45</v>
      </c>
      <c r="K35" s="19"/>
    </row>
    <row r="36" customFormat="false" ht="15" hidden="false" customHeight="false" outlineLevel="0" collapsed="false">
      <c r="A36" s="19" t="s">
        <v>545</v>
      </c>
      <c r="B36" s="19" t="s">
        <v>559</v>
      </c>
      <c r="C36" s="19" t="s">
        <v>560</v>
      </c>
      <c r="D36" s="6" t="s">
        <v>483</v>
      </c>
      <c r="E36" s="6" t="n">
        <v>30</v>
      </c>
      <c r="F36" s="19" t="s">
        <v>533</v>
      </c>
      <c r="G36" s="124" t="n">
        <f aca="false">E36/INDEX(Foods!$D$5:$D$40,MATCH(D36,Foods!$A$5:$A$40,0))*INDEX(Foods!$E$5:$E$40,MATCH(D36,Foods!$A$5:$A$40,0))</f>
        <v>48</v>
      </c>
      <c r="H36" s="124" t="n">
        <f aca="false">E36/INDEX(Foods!$D$5:$D$40,MATCH(D36,Foods!$A$5:$A$40,0))*INDEX(Foods!$F$5:$F$40,MATCH(D36,Foods!$A$5:$A$40,0))</f>
        <v>0.6</v>
      </c>
      <c r="I36" s="124" t="n">
        <f aca="false">E36/INDEX(Foods!$D$5:$D$40,MATCH(D36,Foods!$A$5:$A$40,0))*INDEX(Foods!$G$5:$G$40,MATCH(D36,Foods!$A$5:$A$40,0))</f>
        <v>2.7</v>
      </c>
      <c r="J36" s="124" t="n">
        <f aca="false">E36/INDEX(Foods!$D$5:$D$40,MATCH(D36,Foods!$A$5:$A$40,0))*INDEX(Foods!$H$5:$H$40,MATCH(D36,Foods!$A$5:$A$40,0))</f>
        <v>4.5</v>
      </c>
      <c r="K36" s="19"/>
    </row>
    <row r="37" customFormat="false" ht="23.85" hidden="false" customHeight="false" outlineLevel="0" collapsed="false">
      <c r="A37" s="19" t="s">
        <v>561</v>
      </c>
      <c r="B37" s="19" t="s">
        <v>562</v>
      </c>
      <c r="C37" s="19" t="s">
        <v>550</v>
      </c>
      <c r="D37" s="6" t="s">
        <v>490</v>
      </c>
      <c r="E37" s="6" t="n">
        <v>40</v>
      </c>
      <c r="F37" s="19" t="s">
        <v>533</v>
      </c>
      <c r="G37" s="124" t="n">
        <f aca="false">E37/INDEX(Foods!$D$5:$D$40,MATCH(D37,Foods!$A$5:$A$40,0))*INDEX(Foods!$E$5:$E$40,MATCH(D37,Foods!$A$5:$A$40,0))</f>
        <v>144</v>
      </c>
      <c r="H37" s="124" t="n">
        <f aca="false">E37/INDEX(Foods!$D$5:$D$40,MATCH(D37,Foods!$A$5:$A$40,0))*INDEX(Foods!$F$5:$F$40,MATCH(D37,Foods!$A$5:$A$40,0))</f>
        <v>3.6</v>
      </c>
      <c r="I37" s="124" t="n">
        <f aca="false">E37/INDEX(Foods!$D$5:$D$40,MATCH(D37,Foods!$A$5:$A$40,0))*INDEX(Foods!$G$5:$G$40,MATCH(D37,Foods!$A$5:$A$40,0))</f>
        <v>29.6</v>
      </c>
      <c r="J37" s="124" t="n">
        <f aca="false">E37/INDEX(Foods!$D$5:$D$40,MATCH(D37,Foods!$A$5:$A$40,0))*INDEX(Foods!$H$5:$H$40,MATCH(D37,Foods!$A$5:$A$40,0))</f>
        <v>1.4</v>
      </c>
      <c r="K37" s="19" t="s">
        <v>563</v>
      </c>
    </row>
    <row r="38" customFormat="false" ht="23.85" hidden="false" customHeight="false" outlineLevel="0" collapsed="false">
      <c r="A38" s="19" t="s">
        <v>561</v>
      </c>
      <c r="B38" s="19" t="s">
        <v>562</v>
      </c>
      <c r="C38" s="19" t="s">
        <v>550</v>
      </c>
      <c r="D38" s="6" t="s">
        <v>510</v>
      </c>
      <c r="E38" s="6" t="n">
        <v>1</v>
      </c>
      <c r="F38" s="19" t="s">
        <v>535</v>
      </c>
      <c r="G38" s="124" t="n">
        <f aca="false">E38/INDEX(Foods!$D$5:$D$40,MATCH(D38,Foods!$A$5:$A$40,0))*INDEX(Foods!$E$5:$E$40,MATCH(D38,Foods!$A$5:$A$40,0))</f>
        <v>150</v>
      </c>
      <c r="H38" s="124" t="n">
        <f aca="false">E38/INDEX(Foods!$D$5:$D$40,MATCH(D38,Foods!$A$5:$A$40,0))*INDEX(Foods!$F$5:$F$40,MATCH(D38,Foods!$A$5:$A$40,0))</f>
        <v>8</v>
      </c>
      <c r="I38" s="124" t="n">
        <f aca="false">E38/INDEX(Foods!$D$5:$D$40,MATCH(D38,Foods!$A$5:$A$40,0))*INDEX(Foods!$G$5:$G$40,MATCH(D38,Foods!$A$5:$A$40,0))</f>
        <v>12</v>
      </c>
      <c r="J38" s="124" t="n">
        <f aca="false">E38/INDEX(Foods!$D$5:$D$40,MATCH(D38,Foods!$A$5:$A$40,0))*INDEX(Foods!$H$5:$H$40,MATCH(D38,Foods!$A$5:$A$40,0))</f>
        <v>8</v>
      </c>
      <c r="K38" s="19"/>
    </row>
    <row r="39" customFormat="false" ht="23.85" hidden="false" customHeight="false" outlineLevel="0" collapsed="false">
      <c r="A39" s="19" t="s">
        <v>561</v>
      </c>
      <c r="B39" s="19" t="s">
        <v>562</v>
      </c>
      <c r="C39" s="19" t="s">
        <v>550</v>
      </c>
      <c r="D39" s="6" t="s">
        <v>505</v>
      </c>
      <c r="E39" s="6" t="n">
        <v>2</v>
      </c>
      <c r="F39" s="19" t="s">
        <v>535</v>
      </c>
      <c r="G39" s="124" t="n">
        <f aca="false">E39/INDEX(Foods!$D$5:$D$40,MATCH(D39,Foods!$A$5:$A$40,0))*INDEX(Foods!$E$5:$E$40,MATCH(D39,Foods!$A$5:$A$40,0))</f>
        <v>144</v>
      </c>
      <c r="H39" s="124" t="n">
        <f aca="false">E39/INDEX(Foods!$D$5:$D$40,MATCH(D39,Foods!$A$5:$A$40,0))*INDEX(Foods!$F$5:$F$40,MATCH(D39,Foods!$A$5:$A$40,0))</f>
        <v>12.6</v>
      </c>
      <c r="I39" s="124" t="n">
        <f aca="false">E39/INDEX(Foods!$D$5:$D$40,MATCH(D39,Foods!$A$5:$A$40,0))*INDEX(Foods!$G$5:$G$40,MATCH(D39,Foods!$A$5:$A$40,0))</f>
        <v>0.8</v>
      </c>
      <c r="J39" s="124" t="n">
        <f aca="false">E39/INDEX(Foods!$D$5:$D$40,MATCH(D39,Foods!$A$5:$A$40,0))*INDEX(Foods!$H$5:$H$40,MATCH(D39,Foods!$A$5:$A$40,0))</f>
        <v>9.6</v>
      </c>
      <c r="K39" s="19"/>
    </row>
    <row r="40" customFormat="false" ht="23.85" hidden="false" customHeight="false" outlineLevel="0" collapsed="false">
      <c r="A40" s="19" t="s">
        <v>561</v>
      </c>
      <c r="B40" s="19" t="s">
        <v>562</v>
      </c>
      <c r="C40" s="19" t="s">
        <v>550</v>
      </c>
      <c r="D40" s="6" t="s">
        <v>507</v>
      </c>
      <c r="E40" s="6" t="n">
        <v>1</v>
      </c>
      <c r="F40" s="19" t="s">
        <v>535</v>
      </c>
      <c r="G40" s="124" t="n">
        <f aca="false">E40/INDEX(Foods!$D$5:$D$40,MATCH(D40,Foods!$A$5:$A$40,0))*INDEX(Foods!$E$5:$E$40,MATCH(D40,Foods!$A$5:$A$40,0))</f>
        <v>105</v>
      </c>
      <c r="H40" s="124" t="n">
        <f aca="false">E40/INDEX(Foods!$D$5:$D$40,MATCH(D40,Foods!$A$5:$A$40,0))*INDEX(Foods!$F$5:$F$40,MATCH(D40,Foods!$A$5:$A$40,0))</f>
        <v>1.3</v>
      </c>
      <c r="I40" s="124" t="n">
        <f aca="false">E40/INDEX(Foods!$D$5:$D$40,MATCH(D40,Foods!$A$5:$A$40,0))*INDEX(Foods!$G$5:$G$40,MATCH(D40,Foods!$A$5:$A$40,0))</f>
        <v>27</v>
      </c>
      <c r="J40" s="124" t="n">
        <f aca="false">E40/INDEX(Foods!$D$5:$D$40,MATCH(D40,Foods!$A$5:$A$40,0))*INDEX(Foods!$H$5:$H$40,MATCH(D40,Foods!$A$5:$A$40,0))</f>
        <v>0.4</v>
      </c>
      <c r="K40" s="19"/>
    </row>
    <row r="41" customFormat="false" ht="23.85" hidden="false" customHeight="false" outlineLevel="0" collapsed="false">
      <c r="A41" s="19" t="s">
        <v>561</v>
      </c>
      <c r="B41" s="19" t="s">
        <v>552</v>
      </c>
      <c r="C41" s="19" t="s">
        <v>553</v>
      </c>
      <c r="D41" s="6" t="s">
        <v>486</v>
      </c>
      <c r="E41" s="6" t="n">
        <v>15</v>
      </c>
      <c r="F41" s="19" t="s">
        <v>533</v>
      </c>
      <c r="G41" s="124" t="n">
        <f aca="false">E41/INDEX(Foods!$D$5:$D$40,MATCH(D41,Foods!$A$5:$A$40,0))*INDEX(Foods!$E$5:$E$40,MATCH(D41,Foods!$A$5:$A$40,0))</f>
        <v>83.85</v>
      </c>
      <c r="H41" s="124" t="n">
        <f aca="false">E41/INDEX(Foods!$D$5:$D$40,MATCH(D41,Foods!$A$5:$A$40,0))*INDEX(Foods!$F$5:$F$40,MATCH(D41,Foods!$A$5:$A$40,0))</f>
        <v>4.5</v>
      </c>
      <c r="I41" s="124" t="n">
        <f aca="false">E41/INDEX(Foods!$D$5:$D$40,MATCH(D41,Foods!$A$5:$A$40,0))*INDEX(Foods!$G$5:$G$40,MATCH(D41,Foods!$A$5:$A$40,0))</f>
        <v>1.65</v>
      </c>
      <c r="J41" s="124" t="n">
        <f aca="false">E41/INDEX(Foods!$D$5:$D$40,MATCH(D41,Foods!$A$5:$A$40,0))*INDEX(Foods!$H$5:$H$40,MATCH(D41,Foods!$A$5:$A$40,0))</f>
        <v>7.35</v>
      </c>
      <c r="K41" s="19"/>
    </row>
    <row r="42" customFormat="false" ht="23.85" hidden="false" customHeight="false" outlineLevel="0" collapsed="false">
      <c r="A42" s="19" t="s">
        <v>561</v>
      </c>
      <c r="B42" s="19" t="s">
        <v>552</v>
      </c>
      <c r="C42" s="19" t="s">
        <v>553</v>
      </c>
      <c r="D42" s="6" t="s">
        <v>497</v>
      </c>
      <c r="E42" s="6" t="n">
        <v>100</v>
      </c>
      <c r="F42" s="19" t="s">
        <v>533</v>
      </c>
      <c r="G42" s="124" t="n">
        <f aca="false">E42/INDEX(Foods!$D$5:$D$40,MATCH(D42,Foods!$A$5:$A$40,0))*INDEX(Foods!$E$5:$E$40,MATCH(D42,Foods!$A$5:$A$40,0))</f>
        <v>60</v>
      </c>
      <c r="H42" s="124" t="n">
        <f aca="false">E42/INDEX(Foods!$D$5:$D$40,MATCH(D42,Foods!$A$5:$A$40,0))*INDEX(Foods!$F$5:$F$40,MATCH(D42,Foods!$A$5:$A$40,0))</f>
        <v>0.8</v>
      </c>
      <c r="I42" s="124" t="n">
        <f aca="false">E42/INDEX(Foods!$D$5:$D$40,MATCH(D42,Foods!$A$5:$A$40,0))*INDEX(Foods!$G$5:$G$40,MATCH(D42,Foods!$A$5:$A$40,0))</f>
        <v>15</v>
      </c>
      <c r="J42" s="124" t="n">
        <f aca="false">E42/INDEX(Foods!$D$5:$D$40,MATCH(D42,Foods!$A$5:$A$40,0))*INDEX(Foods!$H$5:$H$40,MATCH(D42,Foods!$A$5:$A$40,0))</f>
        <v>0.4</v>
      </c>
      <c r="K42" s="19"/>
    </row>
    <row r="43" customFormat="false" ht="23.85" hidden="false" customHeight="false" outlineLevel="0" collapsed="false">
      <c r="A43" s="19" t="s">
        <v>561</v>
      </c>
      <c r="B43" s="19" t="s">
        <v>554</v>
      </c>
      <c r="C43" s="19" t="s">
        <v>555</v>
      </c>
      <c r="D43" s="6" t="s">
        <v>458</v>
      </c>
      <c r="E43" s="6" t="n">
        <v>140</v>
      </c>
      <c r="F43" s="19" t="s">
        <v>533</v>
      </c>
      <c r="G43" s="124" t="n">
        <f aca="false">E43/INDEX(Foods!$D$5:$D$40,MATCH(D43,Foods!$A$5:$A$40,0))*INDEX(Foods!$E$5:$E$40,MATCH(D43,Foods!$A$5:$A$40,0))</f>
        <v>182</v>
      </c>
      <c r="H43" s="124" t="n">
        <f aca="false">E43/INDEX(Foods!$D$5:$D$40,MATCH(D43,Foods!$A$5:$A$40,0))*INDEX(Foods!$F$5:$F$40,MATCH(D43,Foods!$A$5:$A$40,0))</f>
        <v>3.78</v>
      </c>
      <c r="I43" s="124" t="n">
        <f aca="false">E43/INDEX(Foods!$D$5:$D$40,MATCH(D43,Foods!$A$5:$A$40,0))*INDEX(Foods!$G$5:$G$40,MATCH(D43,Foods!$A$5:$A$40,0))</f>
        <v>39.2</v>
      </c>
      <c r="J43" s="124" t="n">
        <f aca="false">E43/INDEX(Foods!$D$5:$D$40,MATCH(D43,Foods!$A$5:$A$40,0))*INDEX(Foods!$H$5:$H$40,MATCH(D43,Foods!$A$5:$A$40,0))</f>
        <v>0.42</v>
      </c>
      <c r="K43" s="19"/>
    </row>
    <row r="44" customFormat="false" ht="23.85" hidden="false" customHeight="false" outlineLevel="0" collapsed="false">
      <c r="A44" s="19" t="s">
        <v>561</v>
      </c>
      <c r="B44" s="19" t="s">
        <v>554</v>
      </c>
      <c r="C44" s="19" t="s">
        <v>555</v>
      </c>
      <c r="D44" s="6" t="s">
        <v>470</v>
      </c>
      <c r="E44" s="6" t="n">
        <v>150</v>
      </c>
      <c r="F44" s="19" t="s">
        <v>533</v>
      </c>
      <c r="G44" s="124" t="n">
        <f aca="false">E44/INDEX(Foods!$D$5:$D$40,MATCH(D44,Foods!$A$5:$A$40,0))*INDEX(Foods!$E$5:$E$40,MATCH(D44,Foods!$A$5:$A$40,0))</f>
        <v>247.5</v>
      </c>
      <c r="H44" s="124" t="n">
        <f aca="false">E44/INDEX(Foods!$D$5:$D$40,MATCH(D44,Foods!$A$5:$A$40,0))*INDEX(Foods!$F$5:$F$40,MATCH(D44,Foods!$A$5:$A$40,0))</f>
        <v>46.5</v>
      </c>
      <c r="I44" s="124" t="n">
        <f aca="false">E44/INDEX(Foods!$D$5:$D$40,MATCH(D44,Foods!$A$5:$A$40,0))*INDEX(Foods!$G$5:$G$40,MATCH(D44,Foods!$A$5:$A$40,0))</f>
        <v>0</v>
      </c>
      <c r="J44" s="124" t="n">
        <f aca="false">E44/INDEX(Foods!$D$5:$D$40,MATCH(D44,Foods!$A$5:$A$40,0))*INDEX(Foods!$H$5:$H$40,MATCH(D44,Foods!$A$5:$A$40,0))</f>
        <v>5.4</v>
      </c>
      <c r="K44" s="19"/>
    </row>
    <row r="45" customFormat="false" ht="23.85" hidden="false" customHeight="false" outlineLevel="0" collapsed="false">
      <c r="A45" s="19" t="s">
        <v>561</v>
      </c>
      <c r="B45" s="19" t="s">
        <v>554</v>
      </c>
      <c r="C45" s="19" t="s">
        <v>555</v>
      </c>
      <c r="D45" s="6" t="s">
        <v>468</v>
      </c>
      <c r="E45" s="6" t="n">
        <v>150</v>
      </c>
      <c r="F45" s="19" t="s">
        <v>533</v>
      </c>
      <c r="G45" s="124" t="n">
        <f aca="false">E45/INDEX(Foods!$D$5:$D$40,MATCH(D45,Foods!$A$5:$A$40,0))*INDEX(Foods!$E$5:$E$40,MATCH(D45,Foods!$A$5:$A$40,0))</f>
        <v>174</v>
      </c>
      <c r="H45" s="124" t="n">
        <f aca="false">E45/INDEX(Foods!$D$5:$D$40,MATCH(D45,Foods!$A$5:$A$40,0))*INDEX(Foods!$F$5:$F$40,MATCH(D45,Foods!$A$5:$A$40,0))</f>
        <v>13.5</v>
      </c>
      <c r="I45" s="124" t="n">
        <f aca="false">E45/INDEX(Foods!$D$5:$D$40,MATCH(D45,Foods!$A$5:$A$40,0))*INDEX(Foods!$G$5:$G$40,MATCH(D45,Foods!$A$5:$A$40,0))</f>
        <v>30</v>
      </c>
      <c r="J45" s="124" t="n">
        <f aca="false">E45/INDEX(Foods!$D$5:$D$40,MATCH(D45,Foods!$A$5:$A$40,0))*INDEX(Foods!$H$5:$H$40,MATCH(D45,Foods!$A$5:$A$40,0))</f>
        <v>0.6</v>
      </c>
      <c r="K45" s="19"/>
    </row>
    <row r="46" customFormat="false" ht="23.85" hidden="false" customHeight="false" outlineLevel="0" collapsed="false">
      <c r="A46" s="19" t="s">
        <v>561</v>
      </c>
      <c r="B46" s="19" t="s">
        <v>554</v>
      </c>
      <c r="C46" s="19" t="s">
        <v>555</v>
      </c>
      <c r="D46" s="6" t="s">
        <v>480</v>
      </c>
      <c r="E46" s="6" t="n">
        <v>150</v>
      </c>
      <c r="F46" s="19" t="s">
        <v>533</v>
      </c>
      <c r="G46" s="124" t="n">
        <f aca="false">E46/INDEX(Foods!$D$5:$D$40,MATCH(D46,Foods!$A$5:$A$40,0))*INDEX(Foods!$E$5:$E$40,MATCH(D46,Foods!$A$5:$A$40,0))</f>
        <v>37.5</v>
      </c>
      <c r="H46" s="124" t="n">
        <f aca="false">E46/INDEX(Foods!$D$5:$D$40,MATCH(D46,Foods!$A$5:$A$40,0))*INDEX(Foods!$F$5:$F$40,MATCH(D46,Foods!$A$5:$A$40,0))</f>
        <v>3.75</v>
      </c>
      <c r="I46" s="124" t="n">
        <f aca="false">E46/INDEX(Foods!$D$5:$D$40,MATCH(D46,Foods!$A$5:$A$40,0))*INDEX(Foods!$G$5:$G$40,MATCH(D46,Foods!$A$5:$A$40,0))</f>
        <v>6</v>
      </c>
      <c r="J46" s="124" t="n">
        <f aca="false">E46/INDEX(Foods!$D$5:$D$40,MATCH(D46,Foods!$A$5:$A$40,0))*INDEX(Foods!$H$5:$H$40,MATCH(D46,Foods!$A$5:$A$40,0))</f>
        <v>0.45</v>
      </c>
      <c r="K46" s="19"/>
    </row>
    <row r="47" customFormat="false" ht="23.85" hidden="false" customHeight="false" outlineLevel="0" collapsed="false">
      <c r="A47" s="19" t="s">
        <v>561</v>
      </c>
      <c r="B47" s="19" t="s">
        <v>554</v>
      </c>
      <c r="C47" s="19" t="s">
        <v>555</v>
      </c>
      <c r="D47" s="6" t="s">
        <v>514</v>
      </c>
      <c r="E47" s="6" t="n">
        <v>2</v>
      </c>
      <c r="F47" s="19" t="s">
        <v>535</v>
      </c>
      <c r="G47" s="124" t="n">
        <f aca="false">E47/INDEX(Foods!$D$5:$D$40,MATCH(D47,Foods!$A$5:$A$40,0))*INDEX(Foods!$E$5:$E$40,MATCH(D47,Foods!$A$5:$A$40,0))</f>
        <v>80</v>
      </c>
      <c r="H47" s="124" t="n">
        <f aca="false">E47/INDEX(Foods!$D$5:$D$40,MATCH(D47,Foods!$A$5:$A$40,0))*INDEX(Foods!$F$5:$F$40,MATCH(D47,Foods!$A$5:$A$40,0))</f>
        <v>0</v>
      </c>
      <c r="I47" s="124" t="n">
        <f aca="false">E47/INDEX(Foods!$D$5:$D$40,MATCH(D47,Foods!$A$5:$A$40,0))*INDEX(Foods!$G$5:$G$40,MATCH(D47,Foods!$A$5:$A$40,0))</f>
        <v>0</v>
      </c>
      <c r="J47" s="124" t="n">
        <f aca="false">E47/INDEX(Foods!$D$5:$D$40,MATCH(D47,Foods!$A$5:$A$40,0))*INDEX(Foods!$H$5:$H$40,MATCH(D47,Foods!$A$5:$A$40,0))</f>
        <v>9</v>
      </c>
      <c r="K47" s="19"/>
    </row>
    <row r="48" customFormat="false" ht="23.85" hidden="false" customHeight="false" outlineLevel="0" collapsed="false">
      <c r="A48" s="19" t="s">
        <v>561</v>
      </c>
      <c r="B48" s="19" t="s">
        <v>564</v>
      </c>
      <c r="C48" s="19" t="s">
        <v>565</v>
      </c>
      <c r="D48" s="6" t="s">
        <v>512</v>
      </c>
      <c r="E48" s="6" t="n">
        <v>1</v>
      </c>
      <c r="F48" s="19" t="s">
        <v>535</v>
      </c>
      <c r="G48" s="124" t="n">
        <f aca="false">E48/INDEX(Foods!$D$5:$D$40,MATCH(D48,Foods!$A$5:$A$40,0))*INDEX(Foods!$E$5:$E$40,MATCH(D48,Foods!$A$5:$A$40,0))</f>
        <v>150</v>
      </c>
      <c r="H48" s="124" t="n">
        <f aca="false">E48/INDEX(Foods!$D$5:$D$40,MATCH(D48,Foods!$A$5:$A$40,0))*INDEX(Foods!$F$5:$F$40,MATCH(D48,Foods!$A$5:$A$40,0))</f>
        <v>8.5</v>
      </c>
      <c r="I48" s="124" t="n">
        <f aca="false">E48/INDEX(Foods!$D$5:$D$40,MATCH(D48,Foods!$A$5:$A$40,0))*INDEX(Foods!$G$5:$G$40,MATCH(D48,Foods!$A$5:$A$40,0))</f>
        <v>11</v>
      </c>
      <c r="J48" s="124" t="n">
        <f aca="false">E48/INDEX(Foods!$D$5:$D$40,MATCH(D48,Foods!$A$5:$A$40,0))*INDEX(Foods!$H$5:$H$40,MATCH(D48,Foods!$A$5:$A$40,0))</f>
        <v>8</v>
      </c>
      <c r="K48" s="19" t="s">
        <v>566</v>
      </c>
    </row>
    <row r="49" customFormat="false" ht="23.85" hidden="false" customHeight="false" outlineLevel="0" collapsed="false">
      <c r="A49" s="19" t="s">
        <v>561</v>
      </c>
      <c r="B49" s="19" t="s">
        <v>559</v>
      </c>
      <c r="C49" s="19" t="s">
        <v>560</v>
      </c>
      <c r="D49" s="6" t="s">
        <v>460</v>
      </c>
      <c r="E49" s="6" t="n">
        <v>200</v>
      </c>
      <c r="F49" s="19" t="s">
        <v>533</v>
      </c>
      <c r="G49" s="124" t="n">
        <f aca="false">E49/INDEX(Foods!$D$5:$D$40,MATCH(D49,Foods!$A$5:$A$40,0))*INDEX(Foods!$E$5:$E$40,MATCH(D49,Foods!$A$5:$A$40,0))</f>
        <v>172</v>
      </c>
      <c r="H49" s="124" t="n">
        <f aca="false">E49/INDEX(Foods!$D$5:$D$40,MATCH(D49,Foods!$A$5:$A$40,0))*INDEX(Foods!$F$5:$F$40,MATCH(D49,Foods!$A$5:$A$40,0))</f>
        <v>3.2</v>
      </c>
      <c r="I49" s="124" t="n">
        <f aca="false">E49/INDEX(Foods!$D$5:$D$40,MATCH(D49,Foods!$A$5:$A$40,0))*INDEX(Foods!$G$5:$G$40,MATCH(D49,Foods!$A$5:$A$40,0))</f>
        <v>40</v>
      </c>
      <c r="J49" s="124" t="n">
        <f aca="false">E49/INDEX(Foods!$D$5:$D$40,MATCH(D49,Foods!$A$5:$A$40,0))*INDEX(Foods!$H$5:$H$40,MATCH(D49,Foods!$A$5:$A$40,0))</f>
        <v>0.2</v>
      </c>
      <c r="K49" s="19"/>
    </row>
    <row r="50" customFormat="false" ht="23.85" hidden="false" customHeight="false" outlineLevel="0" collapsed="false">
      <c r="A50" s="19" t="s">
        <v>561</v>
      </c>
      <c r="B50" s="19" t="s">
        <v>559</v>
      </c>
      <c r="C50" s="19" t="s">
        <v>560</v>
      </c>
      <c r="D50" s="6" t="s">
        <v>478</v>
      </c>
      <c r="E50" s="6" t="n">
        <v>100</v>
      </c>
      <c r="F50" s="19" t="s">
        <v>533</v>
      </c>
      <c r="G50" s="124" t="n">
        <f aca="false">E50/INDEX(Foods!$D$5:$D$40,MATCH(D50,Foods!$A$5:$A$40,0))*INDEX(Foods!$E$5:$E$40,MATCH(D50,Foods!$A$5:$A$40,0))</f>
        <v>208</v>
      </c>
      <c r="H50" s="124" t="n">
        <f aca="false">E50/INDEX(Foods!$D$5:$D$40,MATCH(D50,Foods!$A$5:$A$40,0))*INDEX(Foods!$F$5:$F$40,MATCH(D50,Foods!$A$5:$A$40,0))</f>
        <v>25</v>
      </c>
      <c r="I50" s="124" t="n">
        <f aca="false">E50/INDEX(Foods!$D$5:$D$40,MATCH(D50,Foods!$A$5:$A$40,0))*INDEX(Foods!$G$5:$G$40,MATCH(D50,Foods!$A$5:$A$40,0))</f>
        <v>0</v>
      </c>
      <c r="J50" s="124" t="n">
        <f aca="false">E50/INDEX(Foods!$D$5:$D$40,MATCH(D50,Foods!$A$5:$A$40,0))*INDEX(Foods!$H$5:$H$40,MATCH(D50,Foods!$A$5:$A$40,0))</f>
        <v>11</v>
      </c>
      <c r="K50" s="19"/>
    </row>
    <row r="51" customFormat="false" ht="23.85" hidden="false" customHeight="false" outlineLevel="0" collapsed="false">
      <c r="A51" s="19" t="s">
        <v>561</v>
      </c>
      <c r="B51" s="19" t="s">
        <v>559</v>
      </c>
      <c r="C51" s="19" t="s">
        <v>560</v>
      </c>
      <c r="D51" s="6" t="s">
        <v>480</v>
      </c>
      <c r="E51" s="6" t="n">
        <v>150</v>
      </c>
      <c r="F51" s="19" t="s">
        <v>533</v>
      </c>
      <c r="G51" s="124" t="n">
        <f aca="false">E51/INDEX(Foods!$D$5:$D$40,MATCH(D51,Foods!$A$5:$A$40,0))*INDEX(Foods!$E$5:$E$40,MATCH(D51,Foods!$A$5:$A$40,0))</f>
        <v>37.5</v>
      </c>
      <c r="H51" s="124" t="n">
        <f aca="false">E51/INDEX(Foods!$D$5:$D$40,MATCH(D51,Foods!$A$5:$A$40,0))*INDEX(Foods!$F$5:$F$40,MATCH(D51,Foods!$A$5:$A$40,0))</f>
        <v>3.75</v>
      </c>
      <c r="I51" s="124" t="n">
        <f aca="false">E51/INDEX(Foods!$D$5:$D$40,MATCH(D51,Foods!$A$5:$A$40,0))*INDEX(Foods!$G$5:$G$40,MATCH(D51,Foods!$A$5:$A$40,0))</f>
        <v>6</v>
      </c>
      <c r="J51" s="124" t="n">
        <f aca="false">E51/INDEX(Foods!$D$5:$D$40,MATCH(D51,Foods!$A$5:$A$40,0))*INDEX(Foods!$H$5:$H$40,MATCH(D51,Foods!$A$5:$A$40,0))</f>
        <v>0.45</v>
      </c>
      <c r="K51" s="19"/>
    </row>
    <row r="52" customFormat="false" ht="23.85" hidden="false" customHeight="false" outlineLevel="0" collapsed="false">
      <c r="A52" s="19" t="s">
        <v>561</v>
      </c>
      <c r="B52" s="19" t="s">
        <v>559</v>
      </c>
      <c r="C52" s="19" t="s">
        <v>560</v>
      </c>
      <c r="D52" s="6" t="s">
        <v>482</v>
      </c>
      <c r="E52" s="6" t="n">
        <v>100</v>
      </c>
      <c r="F52" s="19" t="s">
        <v>533</v>
      </c>
      <c r="G52" s="124" t="n">
        <f aca="false">E52/INDEX(Foods!$D$5:$D$40,MATCH(D52,Foods!$A$5:$A$40,0))*INDEX(Foods!$E$5:$E$40,MATCH(D52,Foods!$A$5:$A$40,0))</f>
        <v>25</v>
      </c>
      <c r="H52" s="124" t="n">
        <f aca="false">E52/INDEX(Foods!$D$5:$D$40,MATCH(D52,Foods!$A$5:$A$40,0))*INDEX(Foods!$F$5:$F$40,MATCH(D52,Foods!$A$5:$A$40,0))</f>
        <v>1</v>
      </c>
      <c r="I52" s="124" t="n">
        <f aca="false">E52/INDEX(Foods!$D$5:$D$40,MATCH(D52,Foods!$A$5:$A$40,0))*INDEX(Foods!$G$5:$G$40,MATCH(D52,Foods!$A$5:$A$40,0))</f>
        <v>5</v>
      </c>
      <c r="J52" s="124" t="n">
        <f aca="false">E52/INDEX(Foods!$D$5:$D$40,MATCH(D52,Foods!$A$5:$A$40,0))*INDEX(Foods!$H$5:$H$40,MATCH(D52,Foods!$A$5:$A$40,0))</f>
        <v>0.2</v>
      </c>
      <c r="K52" s="19"/>
    </row>
    <row r="53" customFormat="false" ht="15" hidden="false" customHeight="false" outlineLevel="0" collapsed="false">
      <c r="A53" s="19" t="s">
        <v>567</v>
      </c>
      <c r="B53" s="19" t="s">
        <v>531</v>
      </c>
      <c r="C53" s="19" t="s">
        <v>532</v>
      </c>
      <c r="D53" s="6" t="s">
        <v>492</v>
      </c>
      <c r="E53" s="6" t="n">
        <v>40</v>
      </c>
      <c r="F53" s="19" t="s">
        <v>533</v>
      </c>
      <c r="G53" s="124" t="n">
        <f aca="false">E53/INDEX(Foods!$D$5:$D$40,MATCH(D53,Foods!$A$5:$A$40,0))*INDEX(Foods!$E$5:$E$40,MATCH(D53,Foods!$A$5:$A$40,0))</f>
        <v>100</v>
      </c>
      <c r="H53" s="124" t="n">
        <f aca="false">E53/INDEX(Foods!$D$5:$D$40,MATCH(D53,Foods!$A$5:$A$40,0))*INDEX(Foods!$F$5:$F$40,MATCH(D53,Foods!$A$5:$A$40,0))</f>
        <v>4</v>
      </c>
      <c r="I53" s="124" t="n">
        <f aca="false">E53/INDEX(Foods!$D$5:$D$40,MATCH(D53,Foods!$A$5:$A$40,0))*INDEX(Foods!$G$5:$G$40,MATCH(D53,Foods!$A$5:$A$40,0))</f>
        <v>17.6</v>
      </c>
      <c r="J53" s="124" t="n">
        <f aca="false">E53/INDEX(Foods!$D$5:$D$40,MATCH(D53,Foods!$A$5:$A$40,0))*INDEX(Foods!$H$5:$H$40,MATCH(D53,Foods!$A$5:$A$40,0))</f>
        <v>1.4</v>
      </c>
      <c r="K53" s="19" t="s">
        <v>568</v>
      </c>
    </row>
    <row r="54" customFormat="false" ht="15" hidden="false" customHeight="false" outlineLevel="0" collapsed="false">
      <c r="A54" s="19" t="s">
        <v>567</v>
      </c>
      <c r="B54" s="19" t="s">
        <v>531</v>
      </c>
      <c r="C54" s="19" t="s">
        <v>532</v>
      </c>
      <c r="D54" s="6" t="s">
        <v>520</v>
      </c>
      <c r="E54" s="6" t="n">
        <v>1</v>
      </c>
      <c r="F54" s="19" t="s">
        <v>535</v>
      </c>
      <c r="G54" s="124" t="n">
        <f aca="false">E54/INDEX(Foods!$D$5:$D$40,MATCH(D54,Foods!$A$5:$A$40,0))*INDEX(Foods!$E$5:$E$40,MATCH(D54,Foods!$A$5:$A$40,0))</f>
        <v>95</v>
      </c>
      <c r="H54" s="124" t="n">
        <f aca="false">E54/INDEX(Foods!$D$5:$D$40,MATCH(D54,Foods!$A$5:$A$40,0))*INDEX(Foods!$F$5:$F$40,MATCH(D54,Foods!$A$5:$A$40,0))</f>
        <v>4</v>
      </c>
      <c r="I54" s="124" t="n">
        <f aca="false">E54/INDEX(Foods!$D$5:$D$40,MATCH(D54,Foods!$A$5:$A$40,0))*INDEX(Foods!$G$5:$G$40,MATCH(D54,Foods!$A$5:$A$40,0))</f>
        <v>3</v>
      </c>
      <c r="J54" s="124" t="n">
        <f aca="false">E54/INDEX(Foods!$D$5:$D$40,MATCH(D54,Foods!$A$5:$A$40,0))*INDEX(Foods!$H$5:$H$40,MATCH(D54,Foods!$A$5:$A$40,0))</f>
        <v>8</v>
      </c>
      <c r="K54" s="19"/>
    </row>
    <row r="55" customFormat="false" ht="15" hidden="false" customHeight="false" outlineLevel="0" collapsed="false">
      <c r="A55" s="19" t="s">
        <v>567</v>
      </c>
      <c r="B55" s="19" t="s">
        <v>531</v>
      </c>
      <c r="C55" s="19" t="s">
        <v>532</v>
      </c>
      <c r="D55" s="6" t="s">
        <v>505</v>
      </c>
      <c r="E55" s="6" t="n">
        <v>3</v>
      </c>
      <c r="F55" s="19" t="s">
        <v>535</v>
      </c>
      <c r="G55" s="124" t="n">
        <f aca="false">E55/INDEX(Foods!$D$5:$D$40,MATCH(D55,Foods!$A$5:$A$40,0))*INDEX(Foods!$E$5:$E$40,MATCH(D55,Foods!$A$5:$A$40,0))</f>
        <v>216</v>
      </c>
      <c r="H55" s="124" t="n">
        <f aca="false">E55/INDEX(Foods!$D$5:$D$40,MATCH(D55,Foods!$A$5:$A$40,0))*INDEX(Foods!$F$5:$F$40,MATCH(D55,Foods!$A$5:$A$40,0))</f>
        <v>18.9</v>
      </c>
      <c r="I55" s="124" t="n">
        <f aca="false">E55/INDEX(Foods!$D$5:$D$40,MATCH(D55,Foods!$A$5:$A$40,0))*INDEX(Foods!$G$5:$G$40,MATCH(D55,Foods!$A$5:$A$40,0))</f>
        <v>1.2</v>
      </c>
      <c r="J55" s="124" t="n">
        <f aca="false">E55/INDEX(Foods!$D$5:$D$40,MATCH(D55,Foods!$A$5:$A$40,0))*INDEX(Foods!$H$5:$H$40,MATCH(D55,Foods!$A$5:$A$40,0))</f>
        <v>14.4</v>
      </c>
      <c r="K55" s="19"/>
    </row>
    <row r="56" customFormat="false" ht="15" hidden="false" customHeight="false" outlineLevel="0" collapsed="false">
      <c r="A56" s="19" t="s">
        <v>567</v>
      </c>
      <c r="B56" s="19" t="s">
        <v>531</v>
      </c>
      <c r="C56" s="19" t="s">
        <v>532</v>
      </c>
      <c r="D56" s="6" t="s">
        <v>512</v>
      </c>
      <c r="E56" s="6" t="n">
        <v>1</v>
      </c>
      <c r="F56" s="19" t="s">
        <v>535</v>
      </c>
      <c r="G56" s="124" t="n">
        <f aca="false">E56/INDEX(Foods!$D$5:$D$40,MATCH(D56,Foods!$A$5:$A$40,0))*INDEX(Foods!$E$5:$E$40,MATCH(D56,Foods!$A$5:$A$40,0))</f>
        <v>150</v>
      </c>
      <c r="H56" s="124" t="n">
        <f aca="false">E56/INDEX(Foods!$D$5:$D$40,MATCH(D56,Foods!$A$5:$A$40,0))*INDEX(Foods!$F$5:$F$40,MATCH(D56,Foods!$A$5:$A$40,0))</f>
        <v>8.5</v>
      </c>
      <c r="I56" s="124" t="n">
        <f aca="false">E56/INDEX(Foods!$D$5:$D$40,MATCH(D56,Foods!$A$5:$A$40,0))*INDEX(Foods!$G$5:$G$40,MATCH(D56,Foods!$A$5:$A$40,0))</f>
        <v>11</v>
      </c>
      <c r="J56" s="124" t="n">
        <f aca="false">E56/INDEX(Foods!$D$5:$D$40,MATCH(D56,Foods!$A$5:$A$40,0))*INDEX(Foods!$H$5:$H$40,MATCH(D56,Foods!$A$5:$A$40,0))</f>
        <v>8</v>
      </c>
      <c r="K56" s="19"/>
    </row>
    <row r="57" customFormat="false" ht="15" hidden="false" customHeight="false" outlineLevel="0" collapsed="false">
      <c r="A57" s="19" t="s">
        <v>567</v>
      </c>
      <c r="B57" s="19" t="s">
        <v>531</v>
      </c>
      <c r="C57" s="19" t="s">
        <v>532</v>
      </c>
      <c r="D57" s="6" t="s">
        <v>507</v>
      </c>
      <c r="E57" s="6" t="n">
        <v>1</v>
      </c>
      <c r="F57" s="19" t="s">
        <v>535</v>
      </c>
      <c r="G57" s="124" t="n">
        <f aca="false">E57/INDEX(Foods!$D$5:$D$40,MATCH(D57,Foods!$A$5:$A$40,0))*INDEX(Foods!$E$5:$E$40,MATCH(D57,Foods!$A$5:$A$40,0))</f>
        <v>105</v>
      </c>
      <c r="H57" s="124" t="n">
        <f aca="false">E57/INDEX(Foods!$D$5:$D$40,MATCH(D57,Foods!$A$5:$A$40,0))*INDEX(Foods!$F$5:$F$40,MATCH(D57,Foods!$A$5:$A$40,0))</f>
        <v>1.3</v>
      </c>
      <c r="I57" s="124" t="n">
        <f aca="false">E57/INDEX(Foods!$D$5:$D$40,MATCH(D57,Foods!$A$5:$A$40,0))*INDEX(Foods!$G$5:$G$40,MATCH(D57,Foods!$A$5:$A$40,0))</f>
        <v>27</v>
      </c>
      <c r="J57" s="124" t="n">
        <f aca="false">E57/INDEX(Foods!$D$5:$D$40,MATCH(D57,Foods!$A$5:$A$40,0))*INDEX(Foods!$H$5:$H$40,MATCH(D57,Foods!$A$5:$A$40,0))</f>
        <v>0.4</v>
      </c>
      <c r="K57" s="19"/>
    </row>
    <row r="58" customFormat="false" ht="15" hidden="false" customHeight="false" outlineLevel="0" collapsed="false">
      <c r="A58" s="19" t="s">
        <v>567</v>
      </c>
      <c r="B58" s="19" t="s">
        <v>531</v>
      </c>
      <c r="C58" s="19" t="s">
        <v>532</v>
      </c>
      <c r="D58" s="6" t="s">
        <v>484</v>
      </c>
      <c r="E58" s="6" t="n">
        <v>10</v>
      </c>
      <c r="F58" s="19" t="s">
        <v>533</v>
      </c>
      <c r="G58" s="124" t="n">
        <f aca="false">E58/INDEX(Foods!$D$5:$D$40,MATCH(D58,Foods!$A$5:$A$40,0))*INDEX(Foods!$E$5:$E$40,MATCH(D58,Foods!$A$5:$A$40,0))</f>
        <v>56.7</v>
      </c>
      <c r="H58" s="124" t="n">
        <f aca="false">E58/INDEX(Foods!$D$5:$D$40,MATCH(D58,Foods!$A$5:$A$40,0))*INDEX(Foods!$F$5:$F$40,MATCH(D58,Foods!$A$5:$A$40,0))</f>
        <v>2.6</v>
      </c>
      <c r="I58" s="124" t="n">
        <f aca="false">E58/INDEX(Foods!$D$5:$D$40,MATCH(D58,Foods!$A$5:$A$40,0))*INDEX(Foods!$G$5:$G$40,MATCH(D58,Foods!$A$5:$A$40,0))</f>
        <v>1.6</v>
      </c>
      <c r="J58" s="124" t="n">
        <f aca="false">E58/INDEX(Foods!$D$5:$D$40,MATCH(D58,Foods!$A$5:$A$40,0))*INDEX(Foods!$H$5:$H$40,MATCH(D58,Foods!$A$5:$A$40,0))</f>
        <v>4.9</v>
      </c>
      <c r="K58" s="19"/>
    </row>
    <row r="59" customFormat="false" ht="15" hidden="false" customHeight="false" outlineLevel="0" collapsed="false">
      <c r="A59" s="19" t="s">
        <v>567</v>
      </c>
      <c r="B59" s="19" t="s">
        <v>536</v>
      </c>
      <c r="C59" s="19" t="s">
        <v>537</v>
      </c>
      <c r="D59" s="6" t="s">
        <v>508</v>
      </c>
      <c r="E59" s="6" t="n">
        <v>3</v>
      </c>
      <c r="F59" s="19" t="s">
        <v>535</v>
      </c>
      <c r="G59" s="124" t="n">
        <f aca="false">E59/INDEX(Foods!$D$5:$D$40,MATCH(D59,Foods!$A$5:$A$40,0))*INDEX(Foods!$E$5:$E$40,MATCH(D59,Foods!$A$5:$A$40,0))</f>
        <v>69</v>
      </c>
      <c r="H59" s="124" t="n">
        <f aca="false">E59/INDEX(Foods!$D$5:$D$40,MATCH(D59,Foods!$A$5:$A$40,0))*INDEX(Foods!$F$5:$F$40,MATCH(D59,Foods!$A$5:$A$40,0))</f>
        <v>0.6</v>
      </c>
      <c r="I59" s="124" t="n">
        <f aca="false">E59/INDEX(Foods!$D$5:$D$40,MATCH(D59,Foods!$A$5:$A$40,0))*INDEX(Foods!$G$5:$G$40,MATCH(D59,Foods!$A$5:$A$40,0))</f>
        <v>18</v>
      </c>
      <c r="J59" s="124" t="n">
        <f aca="false">E59/INDEX(Foods!$D$5:$D$40,MATCH(D59,Foods!$A$5:$A$40,0))*INDEX(Foods!$H$5:$H$40,MATCH(D59,Foods!$A$5:$A$40,0))</f>
        <v>0</v>
      </c>
      <c r="K59" s="19" t="s">
        <v>569</v>
      </c>
    </row>
    <row r="60" customFormat="false" ht="15" hidden="false" customHeight="false" outlineLevel="0" collapsed="false">
      <c r="A60" s="19" t="s">
        <v>567</v>
      </c>
      <c r="B60" s="19" t="s">
        <v>536</v>
      </c>
      <c r="C60" s="19" t="s">
        <v>537</v>
      </c>
      <c r="D60" s="6" t="s">
        <v>522</v>
      </c>
      <c r="E60" s="6" t="n">
        <v>1</v>
      </c>
      <c r="F60" s="19" t="s">
        <v>535</v>
      </c>
      <c r="G60" s="124" t="n">
        <f aca="false">E60/INDEX(Foods!$D$5:$D$40,MATCH(D60,Foods!$A$5:$A$40,0))*INDEX(Foods!$E$5:$E$40,MATCH(D60,Foods!$A$5:$A$40,0))</f>
        <v>60</v>
      </c>
      <c r="H60" s="124" t="n">
        <f aca="false">E60/INDEX(Foods!$D$5:$D$40,MATCH(D60,Foods!$A$5:$A$40,0))*INDEX(Foods!$F$5:$F$40,MATCH(D60,Foods!$A$5:$A$40,0))</f>
        <v>4</v>
      </c>
      <c r="I60" s="124" t="n">
        <f aca="false">E60/INDEX(Foods!$D$5:$D$40,MATCH(D60,Foods!$A$5:$A$40,0))*INDEX(Foods!$G$5:$G$40,MATCH(D60,Foods!$A$5:$A$40,0))</f>
        <v>6</v>
      </c>
      <c r="J60" s="124" t="n">
        <f aca="false">E60/INDEX(Foods!$D$5:$D$40,MATCH(D60,Foods!$A$5:$A$40,0))*INDEX(Foods!$H$5:$H$40,MATCH(D60,Foods!$A$5:$A$40,0))</f>
        <v>2</v>
      </c>
      <c r="K60" s="19"/>
    </row>
    <row r="61" customFormat="false" ht="15" hidden="false" customHeight="false" outlineLevel="0" collapsed="false">
      <c r="A61" s="19" t="s">
        <v>567</v>
      </c>
      <c r="B61" s="19" t="s">
        <v>539</v>
      </c>
      <c r="C61" s="19" t="s">
        <v>540</v>
      </c>
      <c r="D61" s="6" t="s">
        <v>456</v>
      </c>
      <c r="E61" s="6" t="n">
        <v>220</v>
      </c>
      <c r="F61" s="19" t="s">
        <v>533</v>
      </c>
      <c r="G61" s="124" t="n">
        <f aca="false">E61/INDEX(Foods!$D$5:$D$40,MATCH(D61,Foods!$A$5:$A$40,0))*INDEX(Foods!$E$5:$E$40,MATCH(D61,Foods!$A$5:$A$40,0))</f>
        <v>253</v>
      </c>
      <c r="H61" s="124" t="n">
        <f aca="false">E61/INDEX(Foods!$D$5:$D$40,MATCH(D61,Foods!$A$5:$A$40,0))*INDEX(Foods!$F$5:$F$40,MATCH(D61,Foods!$A$5:$A$40,0))</f>
        <v>5.5</v>
      </c>
      <c r="I61" s="124" t="n">
        <f aca="false">E61/INDEX(Foods!$D$5:$D$40,MATCH(D61,Foods!$A$5:$A$40,0))*INDEX(Foods!$G$5:$G$40,MATCH(D61,Foods!$A$5:$A$40,0))</f>
        <v>55</v>
      </c>
      <c r="J61" s="124" t="n">
        <f aca="false">E61/INDEX(Foods!$D$5:$D$40,MATCH(D61,Foods!$A$5:$A$40,0))*INDEX(Foods!$H$5:$H$40,MATCH(D61,Foods!$A$5:$A$40,0))</f>
        <v>1.1</v>
      </c>
      <c r="K61" s="19" t="s">
        <v>570</v>
      </c>
    </row>
    <row r="62" customFormat="false" ht="15" hidden="false" customHeight="false" outlineLevel="0" collapsed="false">
      <c r="A62" s="19" t="s">
        <v>567</v>
      </c>
      <c r="B62" s="19" t="s">
        <v>539</v>
      </c>
      <c r="C62" s="19" t="s">
        <v>540</v>
      </c>
      <c r="D62" s="6" t="s">
        <v>472</v>
      </c>
      <c r="E62" s="6" t="n">
        <v>200</v>
      </c>
      <c r="F62" s="19" t="s">
        <v>533</v>
      </c>
      <c r="G62" s="124" t="n">
        <f aca="false">E62/INDEX(Foods!$D$5:$D$40,MATCH(D62,Foods!$A$5:$A$40,0))*INDEX(Foods!$E$5:$E$40,MATCH(D62,Foods!$A$5:$A$40,0))</f>
        <v>256</v>
      </c>
      <c r="H62" s="124" t="n">
        <f aca="false">E62/INDEX(Foods!$D$5:$D$40,MATCH(D62,Foods!$A$5:$A$40,0))*INDEX(Foods!$F$5:$F$40,MATCH(D62,Foods!$A$5:$A$40,0))</f>
        <v>52</v>
      </c>
      <c r="I62" s="124" t="n">
        <f aca="false">E62/INDEX(Foods!$D$5:$D$40,MATCH(D62,Foods!$A$5:$A$40,0))*INDEX(Foods!$G$5:$G$40,MATCH(D62,Foods!$A$5:$A$40,0))</f>
        <v>0</v>
      </c>
      <c r="J62" s="124" t="n">
        <f aca="false">E62/INDEX(Foods!$D$5:$D$40,MATCH(D62,Foods!$A$5:$A$40,0))*INDEX(Foods!$H$5:$H$40,MATCH(D62,Foods!$A$5:$A$40,0))</f>
        <v>5.4</v>
      </c>
      <c r="K62" s="19"/>
    </row>
    <row r="63" customFormat="false" ht="15" hidden="false" customHeight="false" outlineLevel="0" collapsed="false">
      <c r="A63" s="19" t="s">
        <v>567</v>
      </c>
      <c r="B63" s="19" t="s">
        <v>539</v>
      </c>
      <c r="C63" s="19" t="s">
        <v>540</v>
      </c>
      <c r="D63" s="6" t="s">
        <v>466</v>
      </c>
      <c r="E63" s="6" t="n">
        <v>100</v>
      </c>
      <c r="F63" s="19" t="s">
        <v>533</v>
      </c>
      <c r="G63" s="124" t="n">
        <f aca="false">E63/INDEX(Foods!$D$5:$D$40,MATCH(D63,Foods!$A$5:$A$40,0))*INDEX(Foods!$E$5:$E$40,MATCH(D63,Foods!$A$5:$A$40,0))</f>
        <v>127</v>
      </c>
      <c r="H63" s="124" t="n">
        <f aca="false">E63/INDEX(Foods!$D$5:$D$40,MATCH(D63,Foods!$A$5:$A$40,0))*INDEX(Foods!$F$5:$F$40,MATCH(D63,Foods!$A$5:$A$40,0))</f>
        <v>8.7</v>
      </c>
      <c r="I63" s="124" t="n">
        <f aca="false">E63/INDEX(Foods!$D$5:$D$40,MATCH(D63,Foods!$A$5:$A$40,0))*INDEX(Foods!$G$5:$G$40,MATCH(D63,Foods!$A$5:$A$40,0))</f>
        <v>23</v>
      </c>
      <c r="J63" s="124" t="n">
        <f aca="false">E63/INDEX(Foods!$D$5:$D$40,MATCH(D63,Foods!$A$5:$A$40,0))*INDEX(Foods!$H$5:$H$40,MATCH(D63,Foods!$A$5:$A$40,0))</f>
        <v>0.5</v>
      </c>
      <c r="K63" s="19"/>
    </row>
    <row r="64" customFormat="false" ht="15" hidden="false" customHeight="false" outlineLevel="0" collapsed="false">
      <c r="A64" s="19" t="s">
        <v>567</v>
      </c>
      <c r="B64" s="19" t="s">
        <v>539</v>
      </c>
      <c r="C64" s="19" t="s">
        <v>540</v>
      </c>
      <c r="D64" s="6" t="s">
        <v>480</v>
      </c>
      <c r="E64" s="6" t="n">
        <v>150</v>
      </c>
      <c r="F64" s="19" t="s">
        <v>533</v>
      </c>
      <c r="G64" s="124" t="n">
        <f aca="false">E64/INDEX(Foods!$D$5:$D$40,MATCH(D64,Foods!$A$5:$A$40,0))*INDEX(Foods!$E$5:$E$40,MATCH(D64,Foods!$A$5:$A$40,0))</f>
        <v>37.5</v>
      </c>
      <c r="H64" s="124" t="n">
        <f aca="false">E64/INDEX(Foods!$D$5:$D$40,MATCH(D64,Foods!$A$5:$A$40,0))*INDEX(Foods!$F$5:$F$40,MATCH(D64,Foods!$A$5:$A$40,0))</f>
        <v>3.75</v>
      </c>
      <c r="I64" s="124" t="n">
        <f aca="false">E64/INDEX(Foods!$D$5:$D$40,MATCH(D64,Foods!$A$5:$A$40,0))*INDEX(Foods!$G$5:$G$40,MATCH(D64,Foods!$A$5:$A$40,0))</f>
        <v>6</v>
      </c>
      <c r="J64" s="124" t="n">
        <f aca="false">E64/INDEX(Foods!$D$5:$D$40,MATCH(D64,Foods!$A$5:$A$40,0))*INDEX(Foods!$H$5:$H$40,MATCH(D64,Foods!$A$5:$A$40,0))</f>
        <v>0.45</v>
      </c>
      <c r="K64" s="19"/>
    </row>
    <row r="65" customFormat="false" ht="15" hidden="false" customHeight="false" outlineLevel="0" collapsed="false">
      <c r="A65" s="19" t="s">
        <v>567</v>
      </c>
      <c r="B65" s="19" t="s">
        <v>539</v>
      </c>
      <c r="C65" s="19" t="s">
        <v>540</v>
      </c>
      <c r="D65" s="6" t="s">
        <v>514</v>
      </c>
      <c r="E65" s="6" t="n">
        <v>2</v>
      </c>
      <c r="F65" s="19" t="s">
        <v>535</v>
      </c>
      <c r="G65" s="124" t="n">
        <f aca="false">E65/INDEX(Foods!$D$5:$D$40,MATCH(D65,Foods!$A$5:$A$40,0))*INDEX(Foods!$E$5:$E$40,MATCH(D65,Foods!$A$5:$A$40,0))</f>
        <v>80</v>
      </c>
      <c r="H65" s="124" t="n">
        <f aca="false">E65/INDEX(Foods!$D$5:$D$40,MATCH(D65,Foods!$A$5:$A$40,0))*INDEX(Foods!$F$5:$F$40,MATCH(D65,Foods!$A$5:$A$40,0))</f>
        <v>0</v>
      </c>
      <c r="I65" s="124" t="n">
        <f aca="false">E65/INDEX(Foods!$D$5:$D$40,MATCH(D65,Foods!$A$5:$A$40,0))*INDEX(Foods!$G$5:$G$40,MATCH(D65,Foods!$A$5:$A$40,0))</f>
        <v>0</v>
      </c>
      <c r="J65" s="124" t="n">
        <f aca="false">E65/INDEX(Foods!$D$5:$D$40,MATCH(D65,Foods!$A$5:$A$40,0))*INDEX(Foods!$H$5:$H$40,MATCH(D65,Foods!$A$5:$A$40,0))</f>
        <v>9</v>
      </c>
      <c r="K65" s="19"/>
    </row>
    <row r="66" customFormat="false" ht="15" hidden="false" customHeight="false" outlineLevel="0" collapsed="false">
      <c r="A66" s="19" t="s">
        <v>567</v>
      </c>
      <c r="B66" s="19" t="s">
        <v>542</v>
      </c>
      <c r="C66" s="19" t="s">
        <v>543</v>
      </c>
      <c r="D66" s="6" t="s">
        <v>510</v>
      </c>
      <c r="E66" s="6" t="n">
        <v>1</v>
      </c>
      <c r="F66" s="19" t="s">
        <v>535</v>
      </c>
      <c r="G66" s="124" t="n">
        <f aca="false">E66/INDEX(Foods!$D$5:$D$40,MATCH(D66,Foods!$A$5:$A$40,0))*INDEX(Foods!$E$5:$E$40,MATCH(D66,Foods!$A$5:$A$40,0))</f>
        <v>150</v>
      </c>
      <c r="H66" s="124" t="n">
        <f aca="false">E66/INDEX(Foods!$D$5:$D$40,MATCH(D66,Foods!$A$5:$A$40,0))*INDEX(Foods!$F$5:$F$40,MATCH(D66,Foods!$A$5:$A$40,0))</f>
        <v>8</v>
      </c>
      <c r="I66" s="124" t="n">
        <f aca="false">E66/INDEX(Foods!$D$5:$D$40,MATCH(D66,Foods!$A$5:$A$40,0))*INDEX(Foods!$G$5:$G$40,MATCH(D66,Foods!$A$5:$A$40,0))</f>
        <v>12</v>
      </c>
      <c r="J66" s="124" t="n">
        <f aca="false">E66/INDEX(Foods!$D$5:$D$40,MATCH(D66,Foods!$A$5:$A$40,0))*INDEX(Foods!$H$5:$H$40,MATCH(D66,Foods!$A$5:$A$40,0))</f>
        <v>8</v>
      </c>
      <c r="K66" s="19" t="s">
        <v>544</v>
      </c>
    </row>
    <row r="67" customFormat="false" ht="15" hidden="false" customHeight="false" outlineLevel="0" collapsed="false">
      <c r="A67" s="19" t="s">
        <v>567</v>
      </c>
      <c r="B67" s="19" t="s">
        <v>542</v>
      </c>
      <c r="C67" s="19" t="s">
        <v>543</v>
      </c>
      <c r="D67" s="6" t="s">
        <v>494</v>
      </c>
      <c r="E67" s="6" t="n">
        <v>150</v>
      </c>
      <c r="F67" s="19" t="s">
        <v>533</v>
      </c>
      <c r="G67" s="124" t="n">
        <f aca="false">E67/INDEX(Foods!$D$5:$D$40,MATCH(D67,Foods!$A$5:$A$40,0))*INDEX(Foods!$E$5:$E$40,MATCH(D67,Foods!$A$5:$A$40,0))</f>
        <v>45</v>
      </c>
      <c r="H67" s="124" t="n">
        <f aca="false">E67/INDEX(Foods!$D$5:$D$40,MATCH(D67,Foods!$A$5:$A$40,0))*INDEX(Foods!$F$5:$F$40,MATCH(D67,Foods!$A$5:$A$40,0))</f>
        <v>0.9</v>
      </c>
      <c r="I67" s="124" t="n">
        <f aca="false">E67/INDEX(Foods!$D$5:$D$40,MATCH(D67,Foods!$A$5:$A$40,0))*INDEX(Foods!$G$5:$G$40,MATCH(D67,Foods!$A$5:$A$40,0))</f>
        <v>12</v>
      </c>
      <c r="J67" s="124" t="n">
        <f aca="false">E67/INDEX(Foods!$D$5:$D$40,MATCH(D67,Foods!$A$5:$A$40,0))*INDEX(Foods!$H$5:$H$40,MATCH(D67,Foods!$A$5:$A$40,0))</f>
        <v>0.3</v>
      </c>
      <c r="K67" s="19"/>
    </row>
    <row r="68" customFormat="false" ht="15" hidden="false" customHeight="false" outlineLevel="0" collapsed="false">
      <c r="A68" s="19" t="s">
        <v>571</v>
      </c>
      <c r="B68" s="19" t="s">
        <v>546</v>
      </c>
      <c r="C68" s="19" t="s">
        <v>547</v>
      </c>
      <c r="D68" s="6" t="s">
        <v>507</v>
      </c>
      <c r="E68" s="6" t="n">
        <v>1</v>
      </c>
      <c r="F68" s="19" t="s">
        <v>535</v>
      </c>
      <c r="G68" s="124" t="n">
        <f aca="false">E68/INDEX(Foods!$D$5:$D$40,MATCH(D68,Foods!$A$5:$A$40,0))*INDEX(Foods!$E$5:$E$40,MATCH(D68,Foods!$A$5:$A$40,0))</f>
        <v>105</v>
      </c>
      <c r="H68" s="124" t="n">
        <f aca="false">E68/INDEX(Foods!$D$5:$D$40,MATCH(D68,Foods!$A$5:$A$40,0))*INDEX(Foods!$F$5:$F$40,MATCH(D68,Foods!$A$5:$A$40,0))</f>
        <v>1.3</v>
      </c>
      <c r="I68" s="124" t="n">
        <f aca="false">E68/INDEX(Foods!$D$5:$D$40,MATCH(D68,Foods!$A$5:$A$40,0))*INDEX(Foods!$G$5:$G$40,MATCH(D68,Foods!$A$5:$A$40,0))</f>
        <v>27</v>
      </c>
      <c r="J68" s="124" t="n">
        <f aca="false">E68/INDEX(Foods!$D$5:$D$40,MATCH(D68,Foods!$A$5:$A$40,0))*INDEX(Foods!$H$5:$H$40,MATCH(D68,Foods!$A$5:$A$40,0))</f>
        <v>0.4</v>
      </c>
      <c r="K68" s="19" t="s">
        <v>572</v>
      </c>
    </row>
    <row r="69" customFormat="false" ht="15" hidden="false" customHeight="false" outlineLevel="0" collapsed="false">
      <c r="A69" s="19" t="s">
        <v>571</v>
      </c>
      <c r="B69" s="19" t="s">
        <v>549</v>
      </c>
      <c r="C69" s="19" t="s">
        <v>550</v>
      </c>
      <c r="D69" s="6" t="s">
        <v>488</v>
      </c>
      <c r="E69" s="6" t="n">
        <v>40</v>
      </c>
      <c r="F69" s="19" t="s">
        <v>533</v>
      </c>
      <c r="G69" s="124" t="n">
        <f aca="false">E69/INDEX(Foods!$D$5:$D$40,MATCH(D69,Foods!$A$5:$A$40,0))*INDEX(Foods!$E$5:$E$40,MATCH(D69,Foods!$A$5:$A$40,0))</f>
        <v>152</v>
      </c>
      <c r="H69" s="124" t="n">
        <f aca="false">E69/INDEX(Foods!$D$5:$D$40,MATCH(D69,Foods!$A$5:$A$40,0))*INDEX(Foods!$F$5:$F$40,MATCH(D69,Foods!$A$5:$A$40,0))</f>
        <v>5.2</v>
      </c>
      <c r="I69" s="124" t="n">
        <f aca="false">E69/INDEX(Foods!$D$5:$D$40,MATCH(D69,Foods!$A$5:$A$40,0))*INDEX(Foods!$G$5:$G$40,MATCH(D69,Foods!$A$5:$A$40,0))</f>
        <v>26.4</v>
      </c>
      <c r="J69" s="124" t="n">
        <f aca="false">E69/INDEX(Foods!$D$5:$D$40,MATCH(D69,Foods!$A$5:$A$40,0))*INDEX(Foods!$H$5:$H$40,MATCH(D69,Foods!$A$5:$A$40,0))</f>
        <v>2.8</v>
      </c>
      <c r="K69" s="19"/>
    </row>
    <row r="70" customFormat="false" ht="15" hidden="false" customHeight="false" outlineLevel="0" collapsed="false">
      <c r="A70" s="19" t="s">
        <v>571</v>
      </c>
      <c r="B70" s="19" t="s">
        <v>549</v>
      </c>
      <c r="C70" s="19" t="s">
        <v>550</v>
      </c>
      <c r="D70" s="6" t="s">
        <v>510</v>
      </c>
      <c r="E70" s="6" t="n">
        <v>1</v>
      </c>
      <c r="F70" s="19" t="s">
        <v>535</v>
      </c>
      <c r="G70" s="124" t="n">
        <f aca="false">E70/INDEX(Foods!$D$5:$D$40,MATCH(D70,Foods!$A$5:$A$40,0))*INDEX(Foods!$E$5:$E$40,MATCH(D70,Foods!$A$5:$A$40,0))</f>
        <v>150</v>
      </c>
      <c r="H70" s="124" t="n">
        <f aca="false">E70/INDEX(Foods!$D$5:$D$40,MATCH(D70,Foods!$A$5:$A$40,0))*INDEX(Foods!$F$5:$F$40,MATCH(D70,Foods!$A$5:$A$40,0))</f>
        <v>8</v>
      </c>
      <c r="I70" s="124" t="n">
        <f aca="false">E70/INDEX(Foods!$D$5:$D$40,MATCH(D70,Foods!$A$5:$A$40,0))*INDEX(Foods!$G$5:$G$40,MATCH(D70,Foods!$A$5:$A$40,0))</f>
        <v>12</v>
      </c>
      <c r="J70" s="124" t="n">
        <f aca="false">E70/INDEX(Foods!$D$5:$D$40,MATCH(D70,Foods!$A$5:$A$40,0))*INDEX(Foods!$H$5:$H$40,MATCH(D70,Foods!$A$5:$A$40,0))</f>
        <v>8</v>
      </c>
      <c r="K70" s="19"/>
    </row>
    <row r="71" customFormat="false" ht="15" hidden="false" customHeight="false" outlineLevel="0" collapsed="false">
      <c r="A71" s="19" t="s">
        <v>571</v>
      </c>
      <c r="B71" s="19" t="s">
        <v>549</v>
      </c>
      <c r="C71" s="19" t="s">
        <v>550</v>
      </c>
      <c r="D71" s="6" t="s">
        <v>505</v>
      </c>
      <c r="E71" s="6" t="n">
        <v>3</v>
      </c>
      <c r="F71" s="19" t="s">
        <v>535</v>
      </c>
      <c r="G71" s="124" t="n">
        <f aca="false">E71/INDEX(Foods!$D$5:$D$40,MATCH(D71,Foods!$A$5:$A$40,0))*INDEX(Foods!$E$5:$E$40,MATCH(D71,Foods!$A$5:$A$40,0))</f>
        <v>216</v>
      </c>
      <c r="H71" s="124" t="n">
        <f aca="false">E71/INDEX(Foods!$D$5:$D$40,MATCH(D71,Foods!$A$5:$A$40,0))*INDEX(Foods!$F$5:$F$40,MATCH(D71,Foods!$A$5:$A$40,0))</f>
        <v>18.9</v>
      </c>
      <c r="I71" s="124" t="n">
        <f aca="false">E71/INDEX(Foods!$D$5:$D$40,MATCH(D71,Foods!$A$5:$A$40,0))*INDEX(Foods!$G$5:$G$40,MATCH(D71,Foods!$A$5:$A$40,0))</f>
        <v>1.2</v>
      </c>
      <c r="J71" s="124" t="n">
        <f aca="false">E71/INDEX(Foods!$D$5:$D$40,MATCH(D71,Foods!$A$5:$A$40,0))*INDEX(Foods!$H$5:$H$40,MATCH(D71,Foods!$A$5:$A$40,0))</f>
        <v>14.4</v>
      </c>
      <c r="K71" s="19"/>
    </row>
    <row r="72" customFormat="false" ht="15" hidden="false" customHeight="false" outlineLevel="0" collapsed="false">
      <c r="A72" s="19" t="s">
        <v>571</v>
      </c>
      <c r="B72" s="19" t="s">
        <v>549</v>
      </c>
      <c r="C72" s="19" t="s">
        <v>550</v>
      </c>
      <c r="D72" s="6" t="s">
        <v>495</v>
      </c>
      <c r="E72" s="6" t="n">
        <v>100</v>
      </c>
      <c r="F72" s="19" t="s">
        <v>533</v>
      </c>
      <c r="G72" s="124" t="n">
        <f aca="false">E72/INDEX(Foods!$D$5:$D$40,MATCH(D72,Foods!$A$5:$A$40,0))*INDEX(Foods!$E$5:$E$40,MATCH(D72,Foods!$A$5:$A$40,0))</f>
        <v>43</v>
      </c>
      <c r="H72" s="124" t="n">
        <f aca="false">E72/INDEX(Foods!$D$5:$D$40,MATCH(D72,Foods!$A$5:$A$40,0))*INDEX(Foods!$F$5:$F$40,MATCH(D72,Foods!$A$5:$A$40,0))</f>
        <v>0.5</v>
      </c>
      <c r="I72" s="124" t="n">
        <f aca="false">E72/INDEX(Foods!$D$5:$D$40,MATCH(D72,Foods!$A$5:$A$40,0))*INDEX(Foods!$G$5:$G$40,MATCH(D72,Foods!$A$5:$A$40,0))</f>
        <v>11</v>
      </c>
      <c r="J72" s="124" t="n">
        <f aca="false">E72/INDEX(Foods!$D$5:$D$40,MATCH(D72,Foods!$A$5:$A$40,0))*INDEX(Foods!$H$5:$H$40,MATCH(D72,Foods!$A$5:$A$40,0))</f>
        <v>0.3</v>
      </c>
      <c r="K72" s="19"/>
    </row>
    <row r="73" customFormat="false" ht="15" hidden="false" customHeight="false" outlineLevel="0" collapsed="false">
      <c r="A73" s="19" t="s">
        <v>571</v>
      </c>
      <c r="B73" s="19" t="s">
        <v>552</v>
      </c>
      <c r="C73" s="19" t="s">
        <v>553</v>
      </c>
      <c r="D73" s="6" t="s">
        <v>484</v>
      </c>
      <c r="E73" s="6" t="n">
        <v>15</v>
      </c>
      <c r="F73" s="19" t="s">
        <v>533</v>
      </c>
      <c r="G73" s="124" t="n">
        <f aca="false">E73/INDEX(Foods!$D$5:$D$40,MATCH(D73,Foods!$A$5:$A$40,0))*INDEX(Foods!$E$5:$E$40,MATCH(D73,Foods!$A$5:$A$40,0))</f>
        <v>85.05</v>
      </c>
      <c r="H73" s="124" t="n">
        <f aca="false">E73/INDEX(Foods!$D$5:$D$40,MATCH(D73,Foods!$A$5:$A$40,0))*INDEX(Foods!$F$5:$F$40,MATCH(D73,Foods!$A$5:$A$40,0))</f>
        <v>3.9</v>
      </c>
      <c r="I73" s="124" t="n">
        <f aca="false">E73/INDEX(Foods!$D$5:$D$40,MATCH(D73,Foods!$A$5:$A$40,0))*INDEX(Foods!$G$5:$G$40,MATCH(D73,Foods!$A$5:$A$40,0))</f>
        <v>2.4</v>
      </c>
      <c r="J73" s="124" t="n">
        <f aca="false">E73/INDEX(Foods!$D$5:$D$40,MATCH(D73,Foods!$A$5:$A$40,0))*INDEX(Foods!$H$5:$H$40,MATCH(D73,Foods!$A$5:$A$40,0))</f>
        <v>7.35</v>
      </c>
      <c r="K73" s="19"/>
    </row>
    <row r="74" customFormat="false" ht="15" hidden="false" customHeight="false" outlineLevel="0" collapsed="false">
      <c r="A74" s="19" t="s">
        <v>571</v>
      </c>
      <c r="B74" s="19" t="s">
        <v>552</v>
      </c>
      <c r="C74" s="19" t="s">
        <v>553</v>
      </c>
      <c r="D74" s="6" t="s">
        <v>501</v>
      </c>
      <c r="E74" s="6" t="n">
        <v>130</v>
      </c>
      <c r="F74" s="19" t="s">
        <v>533</v>
      </c>
      <c r="G74" s="124" t="n">
        <f aca="false">E74/INDEX(Foods!$D$5:$D$40,MATCH(D74,Foods!$A$5:$A$40,0))*INDEX(Foods!$E$5:$E$40,MATCH(D74,Foods!$A$5:$A$40,0))</f>
        <v>61.1</v>
      </c>
      <c r="H74" s="124" t="n">
        <f aca="false">E74/INDEX(Foods!$D$5:$D$40,MATCH(D74,Foods!$A$5:$A$40,0))*INDEX(Foods!$F$5:$F$40,MATCH(D74,Foods!$A$5:$A$40,0))</f>
        <v>1.17</v>
      </c>
      <c r="I74" s="124" t="n">
        <f aca="false">E74/INDEX(Foods!$D$5:$D$40,MATCH(D74,Foods!$A$5:$A$40,0))*INDEX(Foods!$G$5:$G$40,MATCH(D74,Foods!$A$5:$A$40,0))</f>
        <v>15.6</v>
      </c>
      <c r="J74" s="124" t="n">
        <f aca="false">E74/INDEX(Foods!$D$5:$D$40,MATCH(D74,Foods!$A$5:$A$40,0))*INDEX(Foods!$H$5:$H$40,MATCH(D74,Foods!$A$5:$A$40,0))</f>
        <v>0.13</v>
      </c>
      <c r="K74" s="19"/>
    </row>
    <row r="75" customFormat="false" ht="15" hidden="false" customHeight="false" outlineLevel="0" collapsed="false">
      <c r="A75" s="19" t="s">
        <v>571</v>
      </c>
      <c r="B75" s="19" t="s">
        <v>554</v>
      </c>
      <c r="C75" s="19" t="s">
        <v>555</v>
      </c>
      <c r="D75" s="6" t="s">
        <v>464</v>
      </c>
      <c r="E75" s="6" t="n">
        <v>150</v>
      </c>
      <c r="F75" s="19" t="s">
        <v>533</v>
      </c>
      <c r="G75" s="124" t="n">
        <f aca="false">E75/INDEX(Foods!$D$5:$D$40,MATCH(D75,Foods!$A$5:$A$40,0))*INDEX(Foods!$E$5:$E$40,MATCH(D75,Foods!$A$5:$A$40,0))</f>
        <v>174</v>
      </c>
      <c r="H75" s="124" t="n">
        <f aca="false">E75/INDEX(Foods!$D$5:$D$40,MATCH(D75,Foods!$A$5:$A$40,0))*INDEX(Foods!$F$5:$F$40,MATCH(D75,Foods!$A$5:$A$40,0))</f>
        <v>1.2</v>
      </c>
      <c r="I75" s="124" t="n">
        <f aca="false">E75/INDEX(Foods!$D$5:$D$40,MATCH(D75,Foods!$A$5:$A$40,0))*INDEX(Foods!$G$5:$G$40,MATCH(D75,Foods!$A$5:$A$40,0))</f>
        <v>46.5</v>
      </c>
      <c r="J75" s="124" t="n">
        <f aca="false">E75/INDEX(Foods!$D$5:$D$40,MATCH(D75,Foods!$A$5:$A$40,0))*INDEX(Foods!$H$5:$H$40,MATCH(D75,Foods!$A$5:$A$40,0))</f>
        <v>0.3</v>
      </c>
      <c r="K75" s="19" t="s">
        <v>573</v>
      </c>
    </row>
    <row r="76" customFormat="false" ht="15" hidden="false" customHeight="false" outlineLevel="0" collapsed="false">
      <c r="A76" s="19" t="s">
        <v>571</v>
      </c>
      <c r="B76" s="19" t="s">
        <v>554</v>
      </c>
      <c r="C76" s="19" t="s">
        <v>555</v>
      </c>
      <c r="D76" s="6" t="s">
        <v>474</v>
      </c>
      <c r="E76" s="6" t="n">
        <v>120</v>
      </c>
      <c r="F76" s="19" t="s">
        <v>533</v>
      </c>
      <c r="G76" s="124" t="n">
        <f aca="false">E76/INDEX(Foods!$D$5:$D$40,MATCH(D76,Foods!$A$5:$A$40,0))*INDEX(Foods!$E$5:$E$40,MATCH(D76,Foods!$A$5:$A$40,0))</f>
        <v>240</v>
      </c>
      <c r="H76" s="124" t="n">
        <f aca="false">E76/INDEX(Foods!$D$5:$D$40,MATCH(D76,Foods!$A$5:$A$40,0))*INDEX(Foods!$F$5:$F$40,MATCH(D76,Foods!$A$5:$A$40,0))</f>
        <v>33.6</v>
      </c>
      <c r="I76" s="124" t="n">
        <f aca="false">E76/INDEX(Foods!$D$5:$D$40,MATCH(D76,Foods!$A$5:$A$40,0))*INDEX(Foods!$G$5:$G$40,MATCH(D76,Foods!$A$5:$A$40,0))</f>
        <v>0</v>
      </c>
      <c r="J76" s="124" t="n">
        <f aca="false">E76/INDEX(Foods!$D$5:$D$40,MATCH(D76,Foods!$A$5:$A$40,0))*INDEX(Foods!$H$5:$H$40,MATCH(D76,Foods!$A$5:$A$40,0))</f>
        <v>10.8</v>
      </c>
      <c r="K76" s="19"/>
    </row>
    <row r="77" customFormat="false" ht="15" hidden="false" customHeight="false" outlineLevel="0" collapsed="false">
      <c r="A77" s="19" t="s">
        <v>571</v>
      </c>
      <c r="B77" s="19" t="s">
        <v>554</v>
      </c>
      <c r="C77" s="19" t="s">
        <v>555</v>
      </c>
      <c r="D77" s="6" t="s">
        <v>480</v>
      </c>
      <c r="E77" s="6" t="n">
        <v>150</v>
      </c>
      <c r="F77" s="19" t="s">
        <v>533</v>
      </c>
      <c r="G77" s="124" t="n">
        <f aca="false">E77/INDEX(Foods!$D$5:$D$40,MATCH(D77,Foods!$A$5:$A$40,0))*INDEX(Foods!$E$5:$E$40,MATCH(D77,Foods!$A$5:$A$40,0))</f>
        <v>37.5</v>
      </c>
      <c r="H77" s="124" t="n">
        <f aca="false">E77/INDEX(Foods!$D$5:$D$40,MATCH(D77,Foods!$A$5:$A$40,0))*INDEX(Foods!$F$5:$F$40,MATCH(D77,Foods!$A$5:$A$40,0))</f>
        <v>3.75</v>
      </c>
      <c r="I77" s="124" t="n">
        <f aca="false">E77/INDEX(Foods!$D$5:$D$40,MATCH(D77,Foods!$A$5:$A$40,0))*INDEX(Foods!$G$5:$G$40,MATCH(D77,Foods!$A$5:$A$40,0))</f>
        <v>6</v>
      </c>
      <c r="J77" s="124" t="n">
        <f aca="false">E77/INDEX(Foods!$D$5:$D$40,MATCH(D77,Foods!$A$5:$A$40,0))*INDEX(Foods!$H$5:$H$40,MATCH(D77,Foods!$A$5:$A$40,0))</f>
        <v>0.45</v>
      </c>
      <c r="K77" s="19"/>
    </row>
    <row r="78" customFormat="false" ht="15" hidden="false" customHeight="false" outlineLevel="0" collapsed="false">
      <c r="A78" s="19" t="s">
        <v>571</v>
      </c>
      <c r="B78" s="19" t="s">
        <v>554</v>
      </c>
      <c r="C78" s="19" t="s">
        <v>555</v>
      </c>
      <c r="D78" s="6" t="s">
        <v>482</v>
      </c>
      <c r="E78" s="6" t="n">
        <v>100</v>
      </c>
      <c r="F78" s="19" t="s">
        <v>533</v>
      </c>
      <c r="G78" s="124" t="n">
        <f aca="false">E78/INDEX(Foods!$D$5:$D$40,MATCH(D78,Foods!$A$5:$A$40,0))*INDEX(Foods!$E$5:$E$40,MATCH(D78,Foods!$A$5:$A$40,0))</f>
        <v>25</v>
      </c>
      <c r="H78" s="124" t="n">
        <f aca="false">E78/INDEX(Foods!$D$5:$D$40,MATCH(D78,Foods!$A$5:$A$40,0))*INDEX(Foods!$F$5:$F$40,MATCH(D78,Foods!$A$5:$A$40,0))</f>
        <v>1</v>
      </c>
      <c r="I78" s="124" t="n">
        <f aca="false">E78/INDEX(Foods!$D$5:$D$40,MATCH(D78,Foods!$A$5:$A$40,0))*INDEX(Foods!$G$5:$G$40,MATCH(D78,Foods!$A$5:$A$40,0))</f>
        <v>5</v>
      </c>
      <c r="J78" s="124" t="n">
        <f aca="false">E78/INDEX(Foods!$D$5:$D$40,MATCH(D78,Foods!$A$5:$A$40,0))*INDEX(Foods!$H$5:$H$40,MATCH(D78,Foods!$A$5:$A$40,0))</f>
        <v>0.2</v>
      </c>
      <c r="K78" s="19"/>
    </row>
    <row r="79" customFormat="false" ht="15" hidden="false" customHeight="false" outlineLevel="0" collapsed="false">
      <c r="A79" s="19" t="s">
        <v>571</v>
      </c>
      <c r="B79" s="19" t="s">
        <v>554</v>
      </c>
      <c r="C79" s="19" t="s">
        <v>555</v>
      </c>
      <c r="D79" s="6" t="s">
        <v>514</v>
      </c>
      <c r="E79" s="6" t="n">
        <v>1</v>
      </c>
      <c r="F79" s="19" t="s">
        <v>535</v>
      </c>
      <c r="G79" s="124" t="n">
        <f aca="false">E79/INDEX(Foods!$D$5:$D$40,MATCH(D79,Foods!$A$5:$A$40,0))*INDEX(Foods!$E$5:$E$40,MATCH(D79,Foods!$A$5:$A$40,0))</f>
        <v>40</v>
      </c>
      <c r="H79" s="124" t="n">
        <f aca="false">E79/INDEX(Foods!$D$5:$D$40,MATCH(D79,Foods!$A$5:$A$40,0))*INDEX(Foods!$F$5:$F$40,MATCH(D79,Foods!$A$5:$A$40,0))</f>
        <v>0</v>
      </c>
      <c r="I79" s="124" t="n">
        <f aca="false">E79/INDEX(Foods!$D$5:$D$40,MATCH(D79,Foods!$A$5:$A$40,0))*INDEX(Foods!$G$5:$G$40,MATCH(D79,Foods!$A$5:$A$40,0))</f>
        <v>0</v>
      </c>
      <c r="J79" s="124" t="n">
        <f aca="false">E79/INDEX(Foods!$D$5:$D$40,MATCH(D79,Foods!$A$5:$A$40,0))*INDEX(Foods!$H$5:$H$40,MATCH(D79,Foods!$A$5:$A$40,0))</f>
        <v>4.5</v>
      </c>
      <c r="K79" s="19"/>
    </row>
    <row r="80" customFormat="false" ht="15" hidden="false" customHeight="false" outlineLevel="0" collapsed="false">
      <c r="A80" s="19" t="s">
        <v>571</v>
      </c>
      <c r="B80" s="19" t="s">
        <v>556</v>
      </c>
      <c r="C80" s="19" t="s">
        <v>553</v>
      </c>
      <c r="D80" s="6" t="s">
        <v>512</v>
      </c>
      <c r="E80" s="6" t="n">
        <v>1</v>
      </c>
      <c r="F80" s="19" t="s">
        <v>535</v>
      </c>
      <c r="G80" s="124" t="n">
        <f aca="false">E80/INDEX(Foods!$D$5:$D$40,MATCH(D80,Foods!$A$5:$A$40,0))*INDEX(Foods!$E$5:$E$40,MATCH(D80,Foods!$A$5:$A$40,0))</f>
        <v>150</v>
      </c>
      <c r="H80" s="124" t="n">
        <f aca="false">E80/INDEX(Foods!$D$5:$D$40,MATCH(D80,Foods!$A$5:$A$40,0))*INDEX(Foods!$F$5:$F$40,MATCH(D80,Foods!$A$5:$A$40,0))</f>
        <v>8.5</v>
      </c>
      <c r="I80" s="124" t="n">
        <f aca="false">E80/INDEX(Foods!$D$5:$D$40,MATCH(D80,Foods!$A$5:$A$40,0))*INDEX(Foods!$G$5:$G$40,MATCH(D80,Foods!$A$5:$A$40,0))</f>
        <v>11</v>
      </c>
      <c r="J80" s="124" t="n">
        <f aca="false">E80/INDEX(Foods!$D$5:$D$40,MATCH(D80,Foods!$A$5:$A$40,0))*INDEX(Foods!$H$5:$H$40,MATCH(D80,Foods!$A$5:$A$40,0))</f>
        <v>8</v>
      </c>
      <c r="K80" s="19"/>
    </row>
    <row r="81" customFormat="false" ht="15" hidden="false" customHeight="false" outlineLevel="0" collapsed="false">
      <c r="A81" s="19" t="s">
        <v>571</v>
      </c>
      <c r="B81" s="19" t="s">
        <v>559</v>
      </c>
      <c r="C81" s="19" t="s">
        <v>560</v>
      </c>
      <c r="D81" s="6" t="s">
        <v>458</v>
      </c>
      <c r="E81" s="6" t="n">
        <v>100</v>
      </c>
      <c r="F81" s="19" t="s">
        <v>533</v>
      </c>
      <c r="G81" s="124" t="n">
        <f aca="false">E81/INDEX(Foods!$D$5:$D$40,MATCH(D81,Foods!$A$5:$A$40,0))*INDEX(Foods!$E$5:$E$40,MATCH(D81,Foods!$A$5:$A$40,0))</f>
        <v>130</v>
      </c>
      <c r="H81" s="124" t="n">
        <f aca="false">E81/INDEX(Foods!$D$5:$D$40,MATCH(D81,Foods!$A$5:$A$40,0))*INDEX(Foods!$F$5:$F$40,MATCH(D81,Foods!$A$5:$A$40,0))</f>
        <v>2.7</v>
      </c>
      <c r="I81" s="124" t="n">
        <f aca="false">E81/INDEX(Foods!$D$5:$D$40,MATCH(D81,Foods!$A$5:$A$40,0))*INDEX(Foods!$G$5:$G$40,MATCH(D81,Foods!$A$5:$A$40,0))</f>
        <v>28</v>
      </c>
      <c r="J81" s="124" t="n">
        <f aca="false">E81/INDEX(Foods!$D$5:$D$40,MATCH(D81,Foods!$A$5:$A$40,0))*INDEX(Foods!$H$5:$H$40,MATCH(D81,Foods!$A$5:$A$40,0))</f>
        <v>0.3</v>
      </c>
      <c r="K81" s="19" t="s">
        <v>574</v>
      </c>
    </row>
    <row r="82" customFormat="false" ht="15" hidden="false" customHeight="false" outlineLevel="0" collapsed="false">
      <c r="A82" s="19" t="s">
        <v>571</v>
      </c>
      <c r="B82" s="19" t="s">
        <v>559</v>
      </c>
      <c r="C82" s="19" t="s">
        <v>560</v>
      </c>
      <c r="D82" s="6" t="s">
        <v>470</v>
      </c>
      <c r="E82" s="6" t="n">
        <v>120</v>
      </c>
      <c r="F82" s="19" t="s">
        <v>533</v>
      </c>
      <c r="G82" s="124" t="n">
        <f aca="false">E82/INDEX(Foods!$D$5:$D$40,MATCH(D82,Foods!$A$5:$A$40,0))*INDEX(Foods!$E$5:$E$40,MATCH(D82,Foods!$A$5:$A$40,0))</f>
        <v>198</v>
      </c>
      <c r="H82" s="124" t="n">
        <f aca="false">E82/INDEX(Foods!$D$5:$D$40,MATCH(D82,Foods!$A$5:$A$40,0))*INDEX(Foods!$F$5:$F$40,MATCH(D82,Foods!$A$5:$A$40,0))</f>
        <v>37.2</v>
      </c>
      <c r="I82" s="124" t="n">
        <f aca="false">E82/INDEX(Foods!$D$5:$D$40,MATCH(D82,Foods!$A$5:$A$40,0))*INDEX(Foods!$G$5:$G$40,MATCH(D82,Foods!$A$5:$A$40,0))</f>
        <v>0</v>
      </c>
      <c r="J82" s="124" t="n">
        <f aca="false">E82/INDEX(Foods!$D$5:$D$40,MATCH(D82,Foods!$A$5:$A$40,0))*INDEX(Foods!$H$5:$H$40,MATCH(D82,Foods!$A$5:$A$40,0))</f>
        <v>4.32</v>
      </c>
      <c r="K82" s="19"/>
    </row>
    <row r="83" customFormat="false" ht="15" hidden="false" customHeight="false" outlineLevel="0" collapsed="false">
      <c r="A83" s="19" t="s">
        <v>571</v>
      </c>
      <c r="B83" s="19" t="s">
        <v>559</v>
      </c>
      <c r="C83" s="19" t="s">
        <v>560</v>
      </c>
      <c r="D83" s="6" t="s">
        <v>468</v>
      </c>
      <c r="E83" s="6" t="n">
        <v>100</v>
      </c>
      <c r="F83" s="19" t="s">
        <v>533</v>
      </c>
      <c r="G83" s="124" t="n">
        <f aca="false">E83/INDEX(Foods!$D$5:$D$40,MATCH(D83,Foods!$A$5:$A$40,0))*INDEX(Foods!$E$5:$E$40,MATCH(D83,Foods!$A$5:$A$40,0))</f>
        <v>116</v>
      </c>
      <c r="H83" s="124" t="n">
        <f aca="false">E83/INDEX(Foods!$D$5:$D$40,MATCH(D83,Foods!$A$5:$A$40,0))*INDEX(Foods!$F$5:$F$40,MATCH(D83,Foods!$A$5:$A$40,0))</f>
        <v>9</v>
      </c>
      <c r="I83" s="124" t="n">
        <f aca="false">E83/INDEX(Foods!$D$5:$D$40,MATCH(D83,Foods!$A$5:$A$40,0))*INDEX(Foods!$G$5:$G$40,MATCH(D83,Foods!$A$5:$A$40,0))</f>
        <v>20</v>
      </c>
      <c r="J83" s="124" t="n">
        <f aca="false">E83/INDEX(Foods!$D$5:$D$40,MATCH(D83,Foods!$A$5:$A$40,0))*INDEX(Foods!$H$5:$H$40,MATCH(D83,Foods!$A$5:$A$40,0))</f>
        <v>0.4</v>
      </c>
      <c r="K83" s="19"/>
    </row>
    <row r="84" customFormat="false" ht="15" hidden="false" customHeight="false" outlineLevel="0" collapsed="false">
      <c r="A84" s="19" t="s">
        <v>571</v>
      </c>
      <c r="B84" s="19" t="s">
        <v>559</v>
      </c>
      <c r="C84" s="19" t="s">
        <v>560</v>
      </c>
      <c r="D84" s="6" t="s">
        <v>480</v>
      </c>
      <c r="E84" s="6" t="n">
        <v>150</v>
      </c>
      <c r="F84" s="19" t="s">
        <v>533</v>
      </c>
      <c r="G84" s="124" t="n">
        <f aca="false">E84/INDEX(Foods!$D$5:$D$40,MATCH(D84,Foods!$A$5:$A$40,0))*INDEX(Foods!$E$5:$E$40,MATCH(D84,Foods!$A$5:$A$40,0))</f>
        <v>37.5</v>
      </c>
      <c r="H84" s="124" t="n">
        <f aca="false">E84/INDEX(Foods!$D$5:$D$40,MATCH(D84,Foods!$A$5:$A$40,0))*INDEX(Foods!$F$5:$F$40,MATCH(D84,Foods!$A$5:$A$40,0))</f>
        <v>3.75</v>
      </c>
      <c r="I84" s="124" t="n">
        <f aca="false">E84/INDEX(Foods!$D$5:$D$40,MATCH(D84,Foods!$A$5:$A$40,0))*INDEX(Foods!$G$5:$G$40,MATCH(D84,Foods!$A$5:$A$40,0))</f>
        <v>6</v>
      </c>
      <c r="J84" s="124" t="n">
        <f aca="false">E84/INDEX(Foods!$D$5:$D$40,MATCH(D84,Foods!$A$5:$A$40,0))*INDEX(Foods!$H$5:$H$40,MATCH(D84,Foods!$A$5:$A$40,0))</f>
        <v>0.45</v>
      </c>
      <c r="K84" s="19"/>
    </row>
    <row r="85" customFormat="false" ht="15" hidden="false" customHeight="false" outlineLevel="0" collapsed="false">
      <c r="A85" s="19" t="s">
        <v>571</v>
      </c>
      <c r="B85" s="19" t="s">
        <v>559</v>
      </c>
      <c r="C85" s="19" t="s">
        <v>560</v>
      </c>
      <c r="D85" s="6" t="s">
        <v>514</v>
      </c>
      <c r="E85" s="6" t="n">
        <v>1</v>
      </c>
      <c r="F85" s="19" t="s">
        <v>535</v>
      </c>
      <c r="G85" s="124" t="n">
        <f aca="false">E85/INDEX(Foods!$D$5:$D$40,MATCH(D85,Foods!$A$5:$A$40,0))*INDEX(Foods!$E$5:$E$40,MATCH(D85,Foods!$A$5:$A$40,0))</f>
        <v>40</v>
      </c>
      <c r="H85" s="124" t="n">
        <f aca="false">E85/INDEX(Foods!$D$5:$D$40,MATCH(D85,Foods!$A$5:$A$40,0))*INDEX(Foods!$F$5:$F$40,MATCH(D85,Foods!$A$5:$A$40,0))</f>
        <v>0</v>
      </c>
      <c r="I85" s="124" t="n">
        <f aca="false">E85/INDEX(Foods!$D$5:$D$40,MATCH(D85,Foods!$A$5:$A$40,0))*INDEX(Foods!$G$5:$G$40,MATCH(D85,Foods!$A$5:$A$40,0))</f>
        <v>0</v>
      </c>
      <c r="J85" s="124" t="n">
        <f aca="false">E85/INDEX(Foods!$D$5:$D$40,MATCH(D85,Foods!$A$5:$A$40,0))*INDEX(Foods!$H$5:$H$40,MATCH(D85,Foods!$A$5:$A$40,0))</f>
        <v>4.5</v>
      </c>
      <c r="K85" s="19"/>
    </row>
    <row r="86" customFormat="false" ht="15" hidden="false" customHeight="false" outlineLevel="0" collapsed="false">
      <c r="A86" s="19" t="s">
        <v>575</v>
      </c>
      <c r="B86" s="19" t="s">
        <v>576</v>
      </c>
      <c r="C86" s="19" t="s">
        <v>577</v>
      </c>
      <c r="D86" s="6" t="s">
        <v>492</v>
      </c>
      <c r="E86" s="6" t="n">
        <v>60</v>
      </c>
      <c r="F86" s="19" t="s">
        <v>533</v>
      </c>
      <c r="G86" s="124" t="n">
        <f aca="false">E86/INDEX(Foods!$D$5:$D$40,MATCH(D86,Foods!$A$5:$A$40,0))*INDEX(Foods!$E$5:$E$40,MATCH(D86,Foods!$A$5:$A$40,0))</f>
        <v>150</v>
      </c>
      <c r="H86" s="124" t="n">
        <f aca="false">E86/INDEX(Foods!$D$5:$D$40,MATCH(D86,Foods!$A$5:$A$40,0))*INDEX(Foods!$F$5:$F$40,MATCH(D86,Foods!$A$5:$A$40,0))</f>
        <v>6</v>
      </c>
      <c r="I86" s="124" t="n">
        <f aca="false">E86/INDEX(Foods!$D$5:$D$40,MATCH(D86,Foods!$A$5:$A$40,0))*INDEX(Foods!$G$5:$G$40,MATCH(D86,Foods!$A$5:$A$40,0))</f>
        <v>26.4</v>
      </c>
      <c r="J86" s="124" t="n">
        <f aca="false">E86/INDEX(Foods!$D$5:$D$40,MATCH(D86,Foods!$A$5:$A$40,0))*INDEX(Foods!$H$5:$H$40,MATCH(D86,Foods!$A$5:$A$40,0))</f>
        <v>2.1</v>
      </c>
      <c r="K86" s="19" t="s">
        <v>578</v>
      </c>
    </row>
    <row r="87" customFormat="false" ht="15" hidden="false" customHeight="false" outlineLevel="0" collapsed="false">
      <c r="A87" s="19" t="s">
        <v>575</v>
      </c>
      <c r="B87" s="19" t="s">
        <v>576</v>
      </c>
      <c r="C87" s="19" t="s">
        <v>577</v>
      </c>
      <c r="D87" s="6" t="s">
        <v>520</v>
      </c>
      <c r="E87" s="6" t="n">
        <v>1</v>
      </c>
      <c r="F87" s="19" t="s">
        <v>535</v>
      </c>
      <c r="G87" s="124" t="n">
        <f aca="false">E87/INDEX(Foods!$D$5:$D$40,MATCH(D87,Foods!$A$5:$A$40,0))*INDEX(Foods!$E$5:$E$40,MATCH(D87,Foods!$A$5:$A$40,0))</f>
        <v>95</v>
      </c>
      <c r="H87" s="124" t="n">
        <f aca="false">E87/INDEX(Foods!$D$5:$D$40,MATCH(D87,Foods!$A$5:$A$40,0))*INDEX(Foods!$F$5:$F$40,MATCH(D87,Foods!$A$5:$A$40,0))</f>
        <v>4</v>
      </c>
      <c r="I87" s="124" t="n">
        <f aca="false">E87/INDEX(Foods!$D$5:$D$40,MATCH(D87,Foods!$A$5:$A$40,0))*INDEX(Foods!$G$5:$G$40,MATCH(D87,Foods!$A$5:$A$40,0))</f>
        <v>3</v>
      </c>
      <c r="J87" s="124" t="n">
        <f aca="false">E87/INDEX(Foods!$D$5:$D$40,MATCH(D87,Foods!$A$5:$A$40,0))*INDEX(Foods!$H$5:$H$40,MATCH(D87,Foods!$A$5:$A$40,0))</f>
        <v>8</v>
      </c>
      <c r="K87" s="19"/>
    </row>
    <row r="88" customFormat="false" ht="15" hidden="false" customHeight="false" outlineLevel="0" collapsed="false">
      <c r="A88" s="19" t="s">
        <v>575</v>
      </c>
      <c r="B88" s="19" t="s">
        <v>576</v>
      </c>
      <c r="C88" s="19" t="s">
        <v>577</v>
      </c>
      <c r="D88" s="6" t="s">
        <v>507</v>
      </c>
      <c r="E88" s="6" t="n">
        <v>1</v>
      </c>
      <c r="F88" s="19" t="s">
        <v>535</v>
      </c>
      <c r="G88" s="124" t="n">
        <f aca="false">E88/INDEX(Foods!$D$5:$D$40,MATCH(D88,Foods!$A$5:$A$40,0))*INDEX(Foods!$E$5:$E$40,MATCH(D88,Foods!$A$5:$A$40,0))</f>
        <v>105</v>
      </c>
      <c r="H88" s="124" t="n">
        <f aca="false">E88/INDEX(Foods!$D$5:$D$40,MATCH(D88,Foods!$A$5:$A$40,0))*INDEX(Foods!$F$5:$F$40,MATCH(D88,Foods!$A$5:$A$40,0))</f>
        <v>1.3</v>
      </c>
      <c r="I88" s="124" t="n">
        <f aca="false">E88/INDEX(Foods!$D$5:$D$40,MATCH(D88,Foods!$A$5:$A$40,0))*INDEX(Foods!$G$5:$G$40,MATCH(D88,Foods!$A$5:$A$40,0))</f>
        <v>27</v>
      </c>
      <c r="J88" s="124" t="n">
        <f aca="false">E88/INDEX(Foods!$D$5:$D$40,MATCH(D88,Foods!$A$5:$A$40,0))*INDEX(Foods!$H$5:$H$40,MATCH(D88,Foods!$A$5:$A$40,0))</f>
        <v>0.4</v>
      </c>
      <c r="K88" s="19"/>
    </row>
    <row r="89" customFormat="false" ht="23.85" hidden="false" customHeight="false" outlineLevel="0" collapsed="false">
      <c r="A89" s="19" t="s">
        <v>575</v>
      </c>
      <c r="B89" s="19" t="s">
        <v>579</v>
      </c>
      <c r="C89" s="19" t="s">
        <v>580</v>
      </c>
      <c r="D89" s="6" t="s">
        <v>508</v>
      </c>
      <c r="E89" s="6" t="n">
        <v>6</v>
      </c>
      <c r="F89" s="19" t="s">
        <v>535</v>
      </c>
      <c r="G89" s="124" t="n">
        <f aca="false">E89/INDEX(Foods!$D$5:$D$40,MATCH(D89,Foods!$A$5:$A$40,0))*INDEX(Foods!$E$5:$E$40,MATCH(D89,Foods!$A$5:$A$40,0))</f>
        <v>138</v>
      </c>
      <c r="H89" s="124" t="n">
        <f aca="false">E89/INDEX(Foods!$D$5:$D$40,MATCH(D89,Foods!$A$5:$A$40,0))*INDEX(Foods!$F$5:$F$40,MATCH(D89,Foods!$A$5:$A$40,0))</f>
        <v>1.2</v>
      </c>
      <c r="I89" s="124" t="n">
        <f aca="false">E89/INDEX(Foods!$D$5:$D$40,MATCH(D89,Foods!$A$5:$A$40,0))*INDEX(Foods!$G$5:$G$40,MATCH(D89,Foods!$A$5:$A$40,0))</f>
        <v>36</v>
      </c>
      <c r="J89" s="124" t="n">
        <f aca="false">E89/INDEX(Foods!$D$5:$D$40,MATCH(D89,Foods!$A$5:$A$40,0))*INDEX(Foods!$H$5:$H$40,MATCH(D89,Foods!$A$5:$A$40,0))</f>
        <v>0</v>
      </c>
      <c r="K89" s="19" t="s">
        <v>581</v>
      </c>
    </row>
    <row r="90" customFormat="false" ht="15" hidden="false" customHeight="false" outlineLevel="0" collapsed="false">
      <c r="A90" s="19" t="s">
        <v>575</v>
      </c>
      <c r="B90" s="19" t="s">
        <v>582</v>
      </c>
      <c r="C90" s="19" t="s">
        <v>583</v>
      </c>
      <c r="D90" s="6" t="s">
        <v>505</v>
      </c>
      <c r="E90" s="6" t="n">
        <v>2</v>
      </c>
      <c r="F90" s="19" t="s">
        <v>535</v>
      </c>
      <c r="G90" s="124" t="n">
        <f aca="false">E90/INDEX(Foods!$D$5:$D$40,MATCH(D90,Foods!$A$5:$A$40,0))*INDEX(Foods!$E$5:$E$40,MATCH(D90,Foods!$A$5:$A$40,0))</f>
        <v>144</v>
      </c>
      <c r="H90" s="124" t="n">
        <f aca="false">E90/INDEX(Foods!$D$5:$D$40,MATCH(D90,Foods!$A$5:$A$40,0))*INDEX(Foods!$F$5:$F$40,MATCH(D90,Foods!$A$5:$A$40,0))</f>
        <v>12.6</v>
      </c>
      <c r="I90" s="124" t="n">
        <f aca="false">E90/INDEX(Foods!$D$5:$D$40,MATCH(D90,Foods!$A$5:$A$40,0))*INDEX(Foods!$G$5:$G$40,MATCH(D90,Foods!$A$5:$A$40,0))</f>
        <v>0.8</v>
      </c>
      <c r="J90" s="124" t="n">
        <f aca="false">E90/INDEX(Foods!$D$5:$D$40,MATCH(D90,Foods!$A$5:$A$40,0))*INDEX(Foods!$H$5:$H$40,MATCH(D90,Foods!$A$5:$A$40,0))</f>
        <v>9.6</v>
      </c>
      <c r="K90" s="19" t="s">
        <v>584</v>
      </c>
    </row>
    <row r="91" customFormat="false" ht="15" hidden="false" customHeight="false" outlineLevel="0" collapsed="false">
      <c r="A91" s="19" t="s">
        <v>575</v>
      </c>
      <c r="B91" s="19" t="s">
        <v>582</v>
      </c>
      <c r="C91" s="19" t="s">
        <v>583</v>
      </c>
      <c r="D91" s="6" t="s">
        <v>462</v>
      </c>
      <c r="E91" s="6" t="n">
        <v>200</v>
      </c>
      <c r="F91" s="19" t="s">
        <v>533</v>
      </c>
      <c r="G91" s="124" t="n">
        <f aca="false">E91/INDEX(Foods!$D$5:$D$40,MATCH(D91,Foods!$A$5:$A$40,0))*INDEX(Foods!$E$5:$E$40,MATCH(D91,Foods!$A$5:$A$40,0))</f>
        <v>174</v>
      </c>
      <c r="H91" s="124" t="n">
        <f aca="false">E91/INDEX(Foods!$D$5:$D$40,MATCH(D91,Foods!$A$5:$A$40,0))*INDEX(Foods!$F$5:$F$40,MATCH(D91,Foods!$A$5:$A$40,0))</f>
        <v>3.8</v>
      </c>
      <c r="I91" s="124" t="n">
        <f aca="false">E91/INDEX(Foods!$D$5:$D$40,MATCH(D91,Foods!$A$5:$A$40,0))*INDEX(Foods!$G$5:$G$40,MATCH(D91,Foods!$A$5:$A$40,0))</f>
        <v>40</v>
      </c>
      <c r="J91" s="124" t="n">
        <f aca="false">E91/INDEX(Foods!$D$5:$D$40,MATCH(D91,Foods!$A$5:$A$40,0))*INDEX(Foods!$H$5:$H$40,MATCH(D91,Foods!$A$5:$A$40,0))</f>
        <v>0.2</v>
      </c>
      <c r="K91" s="19"/>
    </row>
    <row r="92" customFormat="false" ht="15" hidden="false" customHeight="false" outlineLevel="0" collapsed="false">
      <c r="A92" s="19" t="s">
        <v>575</v>
      </c>
      <c r="B92" s="19" t="s">
        <v>582</v>
      </c>
      <c r="C92" s="19" t="s">
        <v>583</v>
      </c>
      <c r="D92" s="6" t="s">
        <v>510</v>
      </c>
      <c r="E92" s="6" t="n">
        <v>1</v>
      </c>
      <c r="F92" s="19" t="s">
        <v>535</v>
      </c>
      <c r="G92" s="124" t="n">
        <f aca="false">E92/INDEX(Foods!$D$5:$D$40,MATCH(D92,Foods!$A$5:$A$40,0))*INDEX(Foods!$E$5:$E$40,MATCH(D92,Foods!$A$5:$A$40,0))</f>
        <v>150</v>
      </c>
      <c r="H92" s="124" t="n">
        <f aca="false">E92/INDEX(Foods!$D$5:$D$40,MATCH(D92,Foods!$A$5:$A$40,0))*INDEX(Foods!$F$5:$F$40,MATCH(D92,Foods!$A$5:$A$40,0))</f>
        <v>8</v>
      </c>
      <c r="I92" s="124" t="n">
        <f aca="false">E92/INDEX(Foods!$D$5:$D$40,MATCH(D92,Foods!$A$5:$A$40,0))*INDEX(Foods!$G$5:$G$40,MATCH(D92,Foods!$A$5:$A$40,0))</f>
        <v>12</v>
      </c>
      <c r="J92" s="124" t="n">
        <f aca="false">E92/INDEX(Foods!$D$5:$D$40,MATCH(D92,Foods!$A$5:$A$40,0))*INDEX(Foods!$H$5:$H$40,MATCH(D92,Foods!$A$5:$A$40,0))</f>
        <v>8</v>
      </c>
      <c r="K92" s="19"/>
    </row>
    <row r="93" customFormat="false" ht="15" hidden="false" customHeight="false" outlineLevel="0" collapsed="false">
      <c r="A93" s="19" t="s">
        <v>575</v>
      </c>
      <c r="B93" s="19" t="s">
        <v>582</v>
      </c>
      <c r="C93" s="19" t="s">
        <v>583</v>
      </c>
      <c r="D93" s="6" t="s">
        <v>497</v>
      </c>
      <c r="E93" s="6" t="n">
        <v>150</v>
      </c>
      <c r="F93" s="19" t="s">
        <v>533</v>
      </c>
      <c r="G93" s="124" t="n">
        <f aca="false">E93/INDEX(Foods!$D$5:$D$40,MATCH(D93,Foods!$A$5:$A$40,0))*INDEX(Foods!$E$5:$E$40,MATCH(D93,Foods!$A$5:$A$40,0))</f>
        <v>90</v>
      </c>
      <c r="H93" s="124" t="n">
        <f aca="false">E93/INDEX(Foods!$D$5:$D$40,MATCH(D93,Foods!$A$5:$A$40,0))*INDEX(Foods!$F$5:$F$40,MATCH(D93,Foods!$A$5:$A$40,0))</f>
        <v>1.2</v>
      </c>
      <c r="I93" s="124" t="n">
        <f aca="false">E93/INDEX(Foods!$D$5:$D$40,MATCH(D93,Foods!$A$5:$A$40,0))*INDEX(Foods!$G$5:$G$40,MATCH(D93,Foods!$A$5:$A$40,0))</f>
        <v>22.5</v>
      </c>
      <c r="J93" s="124" t="n">
        <f aca="false">E93/INDEX(Foods!$D$5:$D$40,MATCH(D93,Foods!$A$5:$A$40,0))*INDEX(Foods!$H$5:$H$40,MATCH(D93,Foods!$A$5:$A$40,0))</f>
        <v>0.6</v>
      </c>
      <c r="K93" s="19"/>
    </row>
    <row r="94" customFormat="false" ht="15" hidden="false" customHeight="false" outlineLevel="0" collapsed="false">
      <c r="A94" s="19" t="s">
        <v>575</v>
      </c>
      <c r="B94" s="19" t="s">
        <v>582</v>
      </c>
      <c r="C94" s="19" t="s">
        <v>583</v>
      </c>
      <c r="D94" s="6" t="s">
        <v>514</v>
      </c>
      <c r="E94" s="6" t="n">
        <v>1</v>
      </c>
      <c r="F94" s="19" t="s">
        <v>535</v>
      </c>
      <c r="G94" s="124" t="n">
        <f aca="false">E94/INDEX(Foods!$D$5:$D$40,MATCH(D94,Foods!$A$5:$A$40,0))*INDEX(Foods!$E$5:$E$40,MATCH(D94,Foods!$A$5:$A$40,0))</f>
        <v>40</v>
      </c>
      <c r="H94" s="124" t="n">
        <f aca="false">E94/INDEX(Foods!$D$5:$D$40,MATCH(D94,Foods!$A$5:$A$40,0))*INDEX(Foods!$F$5:$F$40,MATCH(D94,Foods!$A$5:$A$40,0))</f>
        <v>0</v>
      </c>
      <c r="I94" s="124" t="n">
        <f aca="false">E94/INDEX(Foods!$D$5:$D$40,MATCH(D94,Foods!$A$5:$A$40,0))*INDEX(Foods!$G$5:$G$40,MATCH(D94,Foods!$A$5:$A$40,0))</f>
        <v>0</v>
      </c>
      <c r="J94" s="124" t="n">
        <f aca="false">E94/INDEX(Foods!$D$5:$D$40,MATCH(D94,Foods!$A$5:$A$40,0))*INDEX(Foods!$H$5:$H$40,MATCH(D94,Foods!$A$5:$A$40,0))</f>
        <v>4.5</v>
      </c>
      <c r="K94" s="19"/>
    </row>
    <row r="95" customFormat="false" ht="15" hidden="false" customHeight="false" outlineLevel="0" collapsed="false">
      <c r="A95" s="19" t="s">
        <v>575</v>
      </c>
      <c r="B95" s="19" t="s">
        <v>585</v>
      </c>
      <c r="C95" s="19" t="s">
        <v>555</v>
      </c>
      <c r="D95" s="6" t="s">
        <v>458</v>
      </c>
      <c r="E95" s="6" t="n">
        <v>160</v>
      </c>
      <c r="F95" s="19" t="s">
        <v>533</v>
      </c>
      <c r="G95" s="124" t="n">
        <f aca="false">E95/INDEX(Foods!$D$5:$D$40,MATCH(D95,Foods!$A$5:$A$40,0))*INDEX(Foods!$E$5:$E$40,MATCH(D95,Foods!$A$5:$A$40,0))</f>
        <v>208</v>
      </c>
      <c r="H95" s="124" t="n">
        <f aca="false">E95/INDEX(Foods!$D$5:$D$40,MATCH(D95,Foods!$A$5:$A$40,0))*INDEX(Foods!$F$5:$F$40,MATCH(D95,Foods!$A$5:$A$40,0))</f>
        <v>4.32</v>
      </c>
      <c r="I95" s="124" t="n">
        <f aca="false">E95/INDEX(Foods!$D$5:$D$40,MATCH(D95,Foods!$A$5:$A$40,0))*INDEX(Foods!$G$5:$G$40,MATCH(D95,Foods!$A$5:$A$40,0))</f>
        <v>44.8</v>
      </c>
      <c r="J95" s="124" t="n">
        <f aca="false">E95/INDEX(Foods!$D$5:$D$40,MATCH(D95,Foods!$A$5:$A$40,0))*INDEX(Foods!$H$5:$H$40,MATCH(D95,Foods!$A$5:$A$40,0))</f>
        <v>0.48</v>
      </c>
      <c r="K95" s="19"/>
    </row>
    <row r="96" customFormat="false" ht="15" hidden="false" customHeight="false" outlineLevel="0" collapsed="false">
      <c r="A96" s="19" t="s">
        <v>575</v>
      </c>
      <c r="B96" s="19" t="s">
        <v>585</v>
      </c>
      <c r="C96" s="19" t="s">
        <v>555</v>
      </c>
      <c r="D96" s="6" t="s">
        <v>472</v>
      </c>
      <c r="E96" s="6" t="n">
        <v>150</v>
      </c>
      <c r="F96" s="19" t="s">
        <v>533</v>
      </c>
      <c r="G96" s="124" t="n">
        <f aca="false">E96/INDEX(Foods!$D$5:$D$40,MATCH(D96,Foods!$A$5:$A$40,0))*INDEX(Foods!$E$5:$E$40,MATCH(D96,Foods!$A$5:$A$40,0))</f>
        <v>192</v>
      </c>
      <c r="H96" s="124" t="n">
        <f aca="false">E96/INDEX(Foods!$D$5:$D$40,MATCH(D96,Foods!$A$5:$A$40,0))*INDEX(Foods!$F$5:$F$40,MATCH(D96,Foods!$A$5:$A$40,0))</f>
        <v>39</v>
      </c>
      <c r="I96" s="124" t="n">
        <f aca="false">E96/INDEX(Foods!$D$5:$D$40,MATCH(D96,Foods!$A$5:$A$40,0))*INDEX(Foods!$G$5:$G$40,MATCH(D96,Foods!$A$5:$A$40,0))</f>
        <v>0</v>
      </c>
      <c r="J96" s="124" t="n">
        <f aca="false">E96/INDEX(Foods!$D$5:$D$40,MATCH(D96,Foods!$A$5:$A$40,0))*INDEX(Foods!$H$5:$H$40,MATCH(D96,Foods!$A$5:$A$40,0))</f>
        <v>4.05</v>
      </c>
      <c r="K96" s="19"/>
    </row>
    <row r="97" customFormat="false" ht="15" hidden="false" customHeight="false" outlineLevel="0" collapsed="false">
      <c r="A97" s="19" t="s">
        <v>575</v>
      </c>
      <c r="B97" s="19" t="s">
        <v>585</v>
      </c>
      <c r="C97" s="19" t="s">
        <v>555</v>
      </c>
      <c r="D97" s="6" t="s">
        <v>480</v>
      </c>
      <c r="E97" s="6" t="n">
        <v>150</v>
      </c>
      <c r="F97" s="19" t="s">
        <v>533</v>
      </c>
      <c r="G97" s="124" t="n">
        <f aca="false">E97/INDEX(Foods!$D$5:$D$40,MATCH(D97,Foods!$A$5:$A$40,0))*INDEX(Foods!$E$5:$E$40,MATCH(D97,Foods!$A$5:$A$40,0))</f>
        <v>37.5</v>
      </c>
      <c r="H97" s="124" t="n">
        <f aca="false">E97/INDEX(Foods!$D$5:$D$40,MATCH(D97,Foods!$A$5:$A$40,0))*INDEX(Foods!$F$5:$F$40,MATCH(D97,Foods!$A$5:$A$40,0))</f>
        <v>3.75</v>
      </c>
      <c r="I97" s="124" t="n">
        <f aca="false">E97/INDEX(Foods!$D$5:$D$40,MATCH(D97,Foods!$A$5:$A$40,0))*INDEX(Foods!$G$5:$G$40,MATCH(D97,Foods!$A$5:$A$40,0))</f>
        <v>6</v>
      </c>
      <c r="J97" s="124" t="n">
        <f aca="false">E97/INDEX(Foods!$D$5:$D$40,MATCH(D97,Foods!$A$5:$A$40,0))*INDEX(Foods!$H$5:$H$40,MATCH(D97,Foods!$A$5:$A$40,0))</f>
        <v>0.45</v>
      </c>
      <c r="K97" s="19"/>
    </row>
    <row r="98" customFormat="false" ht="15" hidden="false" customHeight="false" outlineLevel="0" collapsed="false">
      <c r="A98" s="19" t="s">
        <v>575</v>
      </c>
      <c r="B98" s="19" t="s">
        <v>585</v>
      </c>
      <c r="C98" s="19" t="s">
        <v>555</v>
      </c>
      <c r="D98" s="6" t="s">
        <v>482</v>
      </c>
      <c r="E98" s="6" t="n">
        <v>100</v>
      </c>
      <c r="F98" s="19" t="s">
        <v>533</v>
      </c>
      <c r="G98" s="124" t="n">
        <f aca="false">E98/INDEX(Foods!$D$5:$D$40,MATCH(D98,Foods!$A$5:$A$40,0))*INDEX(Foods!$E$5:$E$40,MATCH(D98,Foods!$A$5:$A$40,0))</f>
        <v>25</v>
      </c>
      <c r="H98" s="124" t="n">
        <f aca="false">E98/INDEX(Foods!$D$5:$D$40,MATCH(D98,Foods!$A$5:$A$40,0))*INDEX(Foods!$F$5:$F$40,MATCH(D98,Foods!$A$5:$A$40,0))</f>
        <v>1</v>
      </c>
      <c r="I98" s="124" t="n">
        <f aca="false">E98/INDEX(Foods!$D$5:$D$40,MATCH(D98,Foods!$A$5:$A$40,0))*INDEX(Foods!$G$5:$G$40,MATCH(D98,Foods!$A$5:$A$40,0))</f>
        <v>5</v>
      </c>
      <c r="J98" s="124" t="n">
        <f aca="false">E98/INDEX(Foods!$D$5:$D$40,MATCH(D98,Foods!$A$5:$A$40,0))*INDEX(Foods!$H$5:$H$40,MATCH(D98,Foods!$A$5:$A$40,0))</f>
        <v>0.2</v>
      </c>
      <c r="K98" s="19"/>
    </row>
    <row r="99" customFormat="false" ht="15" hidden="false" customHeight="false" outlineLevel="0" collapsed="false">
      <c r="A99" s="19" t="s">
        <v>575</v>
      </c>
      <c r="B99" s="19" t="s">
        <v>585</v>
      </c>
      <c r="C99" s="19" t="s">
        <v>555</v>
      </c>
      <c r="D99" s="6" t="s">
        <v>514</v>
      </c>
      <c r="E99" s="6" t="n">
        <v>1</v>
      </c>
      <c r="F99" s="19" t="s">
        <v>535</v>
      </c>
      <c r="G99" s="124" t="n">
        <f aca="false">E99/INDEX(Foods!$D$5:$D$40,MATCH(D99,Foods!$A$5:$A$40,0))*INDEX(Foods!$E$5:$E$40,MATCH(D99,Foods!$A$5:$A$40,0))</f>
        <v>40</v>
      </c>
      <c r="H99" s="124" t="n">
        <f aca="false">E99/INDEX(Foods!$D$5:$D$40,MATCH(D99,Foods!$A$5:$A$40,0))*INDEX(Foods!$F$5:$F$40,MATCH(D99,Foods!$A$5:$A$40,0))</f>
        <v>0</v>
      </c>
      <c r="I99" s="124" t="n">
        <f aca="false">E99/INDEX(Foods!$D$5:$D$40,MATCH(D99,Foods!$A$5:$A$40,0))*INDEX(Foods!$G$5:$G$40,MATCH(D99,Foods!$A$5:$A$40,0))</f>
        <v>0</v>
      </c>
      <c r="J99" s="124" t="n">
        <f aca="false">E99/INDEX(Foods!$D$5:$D$40,MATCH(D99,Foods!$A$5:$A$40,0))*INDEX(Foods!$H$5:$H$40,MATCH(D99,Foods!$A$5:$A$40,0))</f>
        <v>4.5</v>
      </c>
      <c r="K99" s="19"/>
    </row>
    <row r="100" customFormat="false" ht="15" hidden="false" customHeight="false" outlineLevel="0" collapsed="false">
      <c r="A100" s="19" t="s">
        <v>575</v>
      </c>
      <c r="B100" s="19" t="s">
        <v>556</v>
      </c>
      <c r="C100" s="19" t="s">
        <v>553</v>
      </c>
      <c r="D100" s="6" t="s">
        <v>512</v>
      </c>
      <c r="E100" s="6" t="n">
        <v>1</v>
      </c>
      <c r="F100" s="19" t="s">
        <v>535</v>
      </c>
      <c r="G100" s="124" t="n">
        <f aca="false">E100/INDEX(Foods!$D$5:$D$40,MATCH(D100,Foods!$A$5:$A$40,0))*INDEX(Foods!$E$5:$E$40,MATCH(D100,Foods!$A$5:$A$40,0))</f>
        <v>150</v>
      </c>
      <c r="H100" s="124" t="n">
        <f aca="false">E100/INDEX(Foods!$D$5:$D$40,MATCH(D100,Foods!$A$5:$A$40,0))*INDEX(Foods!$F$5:$F$40,MATCH(D100,Foods!$A$5:$A$40,0))</f>
        <v>8.5</v>
      </c>
      <c r="I100" s="124" t="n">
        <f aca="false">E100/INDEX(Foods!$D$5:$D$40,MATCH(D100,Foods!$A$5:$A$40,0))*INDEX(Foods!$G$5:$G$40,MATCH(D100,Foods!$A$5:$A$40,0))</f>
        <v>11</v>
      </c>
      <c r="J100" s="124" t="n">
        <f aca="false">E100/INDEX(Foods!$D$5:$D$40,MATCH(D100,Foods!$A$5:$A$40,0))*INDEX(Foods!$H$5:$H$40,MATCH(D100,Foods!$A$5:$A$40,0))</f>
        <v>8</v>
      </c>
      <c r="K100" s="19"/>
    </row>
    <row r="101" customFormat="false" ht="15" hidden="false" customHeight="false" outlineLevel="0" collapsed="false">
      <c r="A101" s="19" t="s">
        <v>575</v>
      </c>
      <c r="B101" s="19" t="s">
        <v>556</v>
      </c>
      <c r="C101" s="19" t="s">
        <v>553</v>
      </c>
      <c r="D101" s="6" t="s">
        <v>499</v>
      </c>
      <c r="E101" s="6" t="n">
        <v>100</v>
      </c>
      <c r="F101" s="19" t="s">
        <v>533</v>
      </c>
      <c r="G101" s="124" t="n">
        <f aca="false">E101/INDEX(Foods!$D$5:$D$40,MATCH(D101,Foods!$A$5:$A$40,0))*INDEX(Foods!$E$5:$E$40,MATCH(D101,Foods!$A$5:$A$40,0))</f>
        <v>50</v>
      </c>
      <c r="H101" s="124" t="n">
        <f aca="false">E101/INDEX(Foods!$D$5:$D$40,MATCH(D101,Foods!$A$5:$A$40,0))*INDEX(Foods!$F$5:$F$40,MATCH(D101,Foods!$A$5:$A$40,0))</f>
        <v>0.5</v>
      </c>
      <c r="I101" s="124" t="n">
        <f aca="false">E101/INDEX(Foods!$D$5:$D$40,MATCH(D101,Foods!$A$5:$A$40,0))*INDEX(Foods!$G$5:$G$40,MATCH(D101,Foods!$A$5:$A$40,0))</f>
        <v>13</v>
      </c>
      <c r="J101" s="124" t="n">
        <f aca="false">E101/INDEX(Foods!$D$5:$D$40,MATCH(D101,Foods!$A$5:$A$40,0))*INDEX(Foods!$H$5:$H$40,MATCH(D101,Foods!$A$5:$A$40,0))</f>
        <v>0.1</v>
      </c>
      <c r="K101" s="19"/>
    </row>
    <row r="102" customFormat="false" ht="15" hidden="false" customHeight="false" outlineLevel="0" collapsed="false">
      <c r="A102" s="19" t="s">
        <v>575</v>
      </c>
      <c r="B102" s="19" t="s">
        <v>559</v>
      </c>
      <c r="C102" s="19" t="s">
        <v>560</v>
      </c>
      <c r="D102" s="6" t="s">
        <v>456</v>
      </c>
      <c r="E102" s="6" t="n">
        <v>150</v>
      </c>
      <c r="F102" s="19" t="s">
        <v>533</v>
      </c>
      <c r="G102" s="124" t="n">
        <f aca="false">E102/INDEX(Foods!$D$5:$D$40,MATCH(D102,Foods!$A$5:$A$40,0))*INDEX(Foods!$E$5:$E$40,MATCH(D102,Foods!$A$5:$A$40,0))</f>
        <v>172.5</v>
      </c>
      <c r="H102" s="124" t="n">
        <f aca="false">E102/INDEX(Foods!$D$5:$D$40,MATCH(D102,Foods!$A$5:$A$40,0))*INDEX(Foods!$F$5:$F$40,MATCH(D102,Foods!$A$5:$A$40,0))</f>
        <v>3.75</v>
      </c>
      <c r="I102" s="124" t="n">
        <f aca="false">E102/INDEX(Foods!$D$5:$D$40,MATCH(D102,Foods!$A$5:$A$40,0))*INDEX(Foods!$G$5:$G$40,MATCH(D102,Foods!$A$5:$A$40,0))</f>
        <v>37.5</v>
      </c>
      <c r="J102" s="124" t="n">
        <f aca="false">E102/INDEX(Foods!$D$5:$D$40,MATCH(D102,Foods!$A$5:$A$40,0))*INDEX(Foods!$H$5:$H$40,MATCH(D102,Foods!$A$5:$A$40,0))</f>
        <v>0.75</v>
      </c>
      <c r="K102" s="19"/>
    </row>
    <row r="103" customFormat="false" ht="15" hidden="false" customHeight="false" outlineLevel="0" collapsed="false">
      <c r="A103" s="19" t="s">
        <v>575</v>
      </c>
      <c r="B103" s="19" t="s">
        <v>559</v>
      </c>
      <c r="C103" s="19" t="s">
        <v>560</v>
      </c>
      <c r="D103" s="6" t="s">
        <v>470</v>
      </c>
      <c r="E103" s="6" t="n">
        <v>100</v>
      </c>
      <c r="F103" s="19" t="s">
        <v>533</v>
      </c>
      <c r="G103" s="124" t="n">
        <f aca="false">E103/INDEX(Foods!$D$5:$D$40,MATCH(D103,Foods!$A$5:$A$40,0))*INDEX(Foods!$E$5:$E$40,MATCH(D103,Foods!$A$5:$A$40,0))</f>
        <v>165</v>
      </c>
      <c r="H103" s="124" t="n">
        <f aca="false">E103/INDEX(Foods!$D$5:$D$40,MATCH(D103,Foods!$A$5:$A$40,0))*INDEX(Foods!$F$5:$F$40,MATCH(D103,Foods!$A$5:$A$40,0))</f>
        <v>31</v>
      </c>
      <c r="I103" s="124" t="n">
        <f aca="false">E103/INDEX(Foods!$D$5:$D$40,MATCH(D103,Foods!$A$5:$A$40,0))*INDEX(Foods!$G$5:$G$40,MATCH(D103,Foods!$A$5:$A$40,0))</f>
        <v>0</v>
      </c>
      <c r="J103" s="124" t="n">
        <f aca="false">E103/INDEX(Foods!$D$5:$D$40,MATCH(D103,Foods!$A$5:$A$40,0))*INDEX(Foods!$H$5:$H$40,MATCH(D103,Foods!$A$5:$A$40,0))</f>
        <v>3.6</v>
      </c>
      <c r="K103" s="19"/>
    </row>
    <row r="104" customFormat="false" ht="15" hidden="false" customHeight="false" outlineLevel="0" collapsed="false">
      <c r="A104" s="19" t="s">
        <v>575</v>
      </c>
      <c r="B104" s="19" t="s">
        <v>559</v>
      </c>
      <c r="C104" s="19" t="s">
        <v>560</v>
      </c>
      <c r="D104" s="6" t="s">
        <v>466</v>
      </c>
      <c r="E104" s="6" t="n">
        <v>100</v>
      </c>
      <c r="F104" s="19" t="s">
        <v>533</v>
      </c>
      <c r="G104" s="124" t="n">
        <f aca="false">E104/INDEX(Foods!$D$5:$D$40,MATCH(D104,Foods!$A$5:$A$40,0))*INDEX(Foods!$E$5:$E$40,MATCH(D104,Foods!$A$5:$A$40,0))</f>
        <v>127</v>
      </c>
      <c r="H104" s="124" t="n">
        <f aca="false">E104/INDEX(Foods!$D$5:$D$40,MATCH(D104,Foods!$A$5:$A$40,0))*INDEX(Foods!$F$5:$F$40,MATCH(D104,Foods!$A$5:$A$40,0))</f>
        <v>8.7</v>
      </c>
      <c r="I104" s="124" t="n">
        <f aca="false">E104/INDEX(Foods!$D$5:$D$40,MATCH(D104,Foods!$A$5:$A$40,0))*INDEX(Foods!$G$5:$G$40,MATCH(D104,Foods!$A$5:$A$40,0))</f>
        <v>23</v>
      </c>
      <c r="J104" s="124" t="n">
        <f aca="false">E104/INDEX(Foods!$D$5:$D$40,MATCH(D104,Foods!$A$5:$A$40,0))*INDEX(Foods!$H$5:$H$40,MATCH(D104,Foods!$A$5:$A$40,0))</f>
        <v>0.5</v>
      </c>
      <c r="K104" s="19"/>
    </row>
    <row r="105" customFormat="false" ht="15" hidden="false" customHeight="false" outlineLevel="0" collapsed="false">
      <c r="A105" s="19" t="s">
        <v>575</v>
      </c>
      <c r="B105" s="19" t="s">
        <v>559</v>
      </c>
      <c r="C105" s="19" t="s">
        <v>560</v>
      </c>
      <c r="D105" s="6" t="s">
        <v>480</v>
      </c>
      <c r="E105" s="6" t="n">
        <v>150</v>
      </c>
      <c r="F105" s="19" t="s">
        <v>533</v>
      </c>
      <c r="G105" s="124" t="n">
        <f aca="false">E105/INDEX(Foods!$D$5:$D$40,MATCH(D105,Foods!$A$5:$A$40,0))*INDEX(Foods!$E$5:$E$40,MATCH(D105,Foods!$A$5:$A$40,0))</f>
        <v>37.5</v>
      </c>
      <c r="H105" s="124" t="n">
        <f aca="false">E105/INDEX(Foods!$D$5:$D$40,MATCH(D105,Foods!$A$5:$A$40,0))*INDEX(Foods!$F$5:$F$40,MATCH(D105,Foods!$A$5:$A$40,0))</f>
        <v>3.75</v>
      </c>
      <c r="I105" s="124" t="n">
        <f aca="false">E105/INDEX(Foods!$D$5:$D$40,MATCH(D105,Foods!$A$5:$A$40,0))*INDEX(Foods!$G$5:$G$40,MATCH(D105,Foods!$A$5:$A$40,0))</f>
        <v>6</v>
      </c>
      <c r="J105" s="124" t="n">
        <f aca="false">E105/INDEX(Foods!$D$5:$D$40,MATCH(D105,Foods!$A$5:$A$40,0))*INDEX(Foods!$H$5:$H$40,MATCH(D105,Foods!$A$5:$A$40,0))</f>
        <v>0.45</v>
      </c>
      <c r="K105" s="19"/>
    </row>
    <row r="106" customFormat="false" ht="15" hidden="false" customHeight="false" outlineLevel="0" collapsed="false">
      <c r="A106" s="19" t="s">
        <v>586</v>
      </c>
      <c r="B106" s="19" t="s">
        <v>549</v>
      </c>
      <c r="C106" s="19" t="s">
        <v>550</v>
      </c>
      <c r="D106" s="6" t="s">
        <v>505</v>
      </c>
      <c r="E106" s="6" t="n">
        <v>3</v>
      </c>
      <c r="F106" s="19" t="s">
        <v>535</v>
      </c>
      <c r="G106" s="124" t="n">
        <f aca="false">E106/INDEX(Foods!$D$5:$D$40,MATCH(D106,Foods!$A$5:$A$40,0))*INDEX(Foods!$E$5:$E$40,MATCH(D106,Foods!$A$5:$A$40,0))</f>
        <v>216</v>
      </c>
      <c r="H106" s="124" t="n">
        <f aca="false">E106/INDEX(Foods!$D$5:$D$40,MATCH(D106,Foods!$A$5:$A$40,0))*INDEX(Foods!$F$5:$F$40,MATCH(D106,Foods!$A$5:$A$40,0))</f>
        <v>18.9</v>
      </c>
      <c r="I106" s="124" t="n">
        <f aca="false">E106/INDEX(Foods!$D$5:$D$40,MATCH(D106,Foods!$A$5:$A$40,0))*INDEX(Foods!$G$5:$G$40,MATCH(D106,Foods!$A$5:$A$40,0))</f>
        <v>1.2</v>
      </c>
      <c r="J106" s="124" t="n">
        <f aca="false">E106/INDEX(Foods!$D$5:$D$40,MATCH(D106,Foods!$A$5:$A$40,0))*INDEX(Foods!$H$5:$H$40,MATCH(D106,Foods!$A$5:$A$40,0))</f>
        <v>14.4</v>
      </c>
      <c r="K106" s="19"/>
    </row>
    <row r="107" customFormat="false" ht="15" hidden="false" customHeight="false" outlineLevel="0" collapsed="false">
      <c r="A107" s="19" t="s">
        <v>586</v>
      </c>
      <c r="B107" s="19" t="s">
        <v>549</v>
      </c>
      <c r="C107" s="19" t="s">
        <v>550</v>
      </c>
      <c r="D107" s="6" t="s">
        <v>492</v>
      </c>
      <c r="E107" s="6" t="n">
        <v>60</v>
      </c>
      <c r="F107" s="19" t="s">
        <v>533</v>
      </c>
      <c r="G107" s="124" t="n">
        <f aca="false">E107/INDEX(Foods!$D$5:$D$40,MATCH(D107,Foods!$A$5:$A$40,0))*INDEX(Foods!$E$5:$E$40,MATCH(D107,Foods!$A$5:$A$40,0))</f>
        <v>150</v>
      </c>
      <c r="H107" s="124" t="n">
        <f aca="false">E107/INDEX(Foods!$D$5:$D$40,MATCH(D107,Foods!$A$5:$A$40,0))*INDEX(Foods!$F$5:$F$40,MATCH(D107,Foods!$A$5:$A$40,0))</f>
        <v>6</v>
      </c>
      <c r="I107" s="124" t="n">
        <f aca="false">E107/INDEX(Foods!$D$5:$D$40,MATCH(D107,Foods!$A$5:$A$40,0))*INDEX(Foods!$G$5:$G$40,MATCH(D107,Foods!$A$5:$A$40,0))</f>
        <v>26.4</v>
      </c>
      <c r="J107" s="124" t="n">
        <f aca="false">E107/INDEX(Foods!$D$5:$D$40,MATCH(D107,Foods!$A$5:$A$40,0))*INDEX(Foods!$H$5:$H$40,MATCH(D107,Foods!$A$5:$A$40,0))</f>
        <v>2.1</v>
      </c>
      <c r="K107" s="19"/>
    </row>
    <row r="108" customFormat="false" ht="15" hidden="false" customHeight="false" outlineLevel="0" collapsed="false">
      <c r="A108" s="19" t="s">
        <v>586</v>
      </c>
      <c r="B108" s="19" t="s">
        <v>549</v>
      </c>
      <c r="C108" s="19" t="s">
        <v>550</v>
      </c>
      <c r="D108" s="6" t="s">
        <v>483</v>
      </c>
      <c r="E108" s="6" t="n">
        <v>50</v>
      </c>
      <c r="F108" s="19" t="s">
        <v>533</v>
      </c>
      <c r="G108" s="124" t="n">
        <f aca="false">E108/INDEX(Foods!$D$5:$D$40,MATCH(D108,Foods!$A$5:$A$40,0))*INDEX(Foods!$E$5:$E$40,MATCH(D108,Foods!$A$5:$A$40,0))</f>
        <v>80</v>
      </c>
      <c r="H108" s="124" t="n">
        <f aca="false">E108/INDEX(Foods!$D$5:$D$40,MATCH(D108,Foods!$A$5:$A$40,0))*INDEX(Foods!$F$5:$F$40,MATCH(D108,Foods!$A$5:$A$40,0))</f>
        <v>1</v>
      </c>
      <c r="I108" s="124" t="n">
        <f aca="false">E108/INDEX(Foods!$D$5:$D$40,MATCH(D108,Foods!$A$5:$A$40,0))*INDEX(Foods!$G$5:$G$40,MATCH(D108,Foods!$A$5:$A$40,0))</f>
        <v>4.5</v>
      </c>
      <c r="J108" s="124" t="n">
        <f aca="false">E108/INDEX(Foods!$D$5:$D$40,MATCH(D108,Foods!$A$5:$A$40,0))*INDEX(Foods!$H$5:$H$40,MATCH(D108,Foods!$A$5:$A$40,0))</f>
        <v>7.5</v>
      </c>
      <c r="K108" s="19"/>
    </row>
    <row r="109" customFormat="false" ht="15" hidden="false" customHeight="false" outlineLevel="0" collapsed="false">
      <c r="A109" s="19" t="s">
        <v>586</v>
      </c>
      <c r="B109" s="19" t="s">
        <v>549</v>
      </c>
      <c r="C109" s="19" t="s">
        <v>550</v>
      </c>
      <c r="D109" s="6" t="s">
        <v>503</v>
      </c>
      <c r="E109" s="6" t="n">
        <v>80</v>
      </c>
      <c r="F109" s="19" t="s">
        <v>533</v>
      </c>
      <c r="G109" s="124" t="n">
        <f aca="false">E109/INDEX(Foods!$D$5:$D$40,MATCH(D109,Foods!$A$5:$A$40,0))*INDEX(Foods!$E$5:$E$40,MATCH(D109,Foods!$A$5:$A$40,0))</f>
        <v>20</v>
      </c>
      <c r="H109" s="124" t="n">
        <f aca="false">E109/INDEX(Foods!$D$5:$D$40,MATCH(D109,Foods!$A$5:$A$40,0))*INDEX(Foods!$F$5:$F$40,MATCH(D109,Foods!$A$5:$A$40,0))</f>
        <v>0.8</v>
      </c>
      <c r="I109" s="124" t="n">
        <f aca="false">E109/INDEX(Foods!$D$5:$D$40,MATCH(D109,Foods!$A$5:$A$40,0))*INDEX(Foods!$G$5:$G$40,MATCH(D109,Foods!$A$5:$A$40,0))</f>
        <v>4</v>
      </c>
      <c r="J109" s="124" t="n">
        <f aca="false">E109/INDEX(Foods!$D$5:$D$40,MATCH(D109,Foods!$A$5:$A$40,0))*INDEX(Foods!$H$5:$H$40,MATCH(D109,Foods!$A$5:$A$40,0))</f>
        <v>0.16</v>
      </c>
      <c r="K109" s="19"/>
    </row>
    <row r="110" customFormat="false" ht="15" hidden="false" customHeight="false" outlineLevel="0" collapsed="false">
      <c r="A110" s="19" t="s">
        <v>586</v>
      </c>
      <c r="B110" s="19" t="s">
        <v>549</v>
      </c>
      <c r="C110" s="19" t="s">
        <v>550</v>
      </c>
      <c r="D110" s="6" t="s">
        <v>501</v>
      </c>
      <c r="E110" s="6" t="n">
        <v>100</v>
      </c>
      <c r="F110" s="19" t="s">
        <v>533</v>
      </c>
      <c r="G110" s="124" t="n">
        <f aca="false">E110/INDEX(Foods!$D$5:$D$40,MATCH(D110,Foods!$A$5:$A$40,0))*INDEX(Foods!$E$5:$E$40,MATCH(D110,Foods!$A$5:$A$40,0))</f>
        <v>47</v>
      </c>
      <c r="H110" s="124" t="n">
        <f aca="false">E110/INDEX(Foods!$D$5:$D$40,MATCH(D110,Foods!$A$5:$A$40,0))*INDEX(Foods!$F$5:$F$40,MATCH(D110,Foods!$A$5:$A$40,0))</f>
        <v>0.9</v>
      </c>
      <c r="I110" s="124" t="n">
        <f aca="false">E110/INDEX(Foods!$D$5:$D$40,MATCH(D110,Foods!$A$5:$A$40,0))*INDEX(Foods!$G$5:$G$40,MATCH(D110,Foods!$A$5:$A$40,0))</f>
        <v>12</v>
      </c>
      <c r="J110" s="124" t="n">
        <f aca="false">E110/INDEX(Foods!$D$5:$D$40,MATCH(D110,Foods!$A$5:$A$40,0))*INDEX(Foods!$H$5:$H$40,MATCH(D110,Foods!$A$5:$A$40,0))</f>
        <v>0.1</v>
      </c>
      <c r="K110" s="19"/>
    </row>
    <row r="111" customFormat="false" ht="15" hidden="false" customHeight="false" outlineLevel="0" collapsed="false">
      <c r="A111" s="19" t="s">
        <v>586</v>
      </c>
      <c r="B111" s="19" t="s">
        <v>587</v>
      </c>
      <c r="C111" s="19" t="s">
        <v>553</v>
      </c>
      <c r="D111" s="6" t="s">
        <v>512</v>
      </c>
      <c r="E111" s="6" t="n">
        <v>1</v>
      </c>
      <c r="F111" s="19" t="s">
        <v>535</v>
      </c>
      <c r="G111" s="124" t="n">
        <f aca="false">E111/INDEX(Foods!$D$5:$D$40,MATCH(D111,Foods!$A$5:$A$40,0))*INDEX(Foods!$E$5:$E$40,MATCH(D111,Foods!$A$5:$A$40,0))</f>
        <v>150</v>
      </c>
      <c r="H111" s="124" t="n">
        <f aca="false">E111/INDEX(Foods!$D$5:$D$40,MATCH(D111,Foods!$A$5:$A$40,0))*INDEX(Foods!$F$5:$F$40,MATCH(D111,Foods!$A$5:$A$40,0))</f>
        <v>8.5</v>
      </c>
      <c r="I111" s="124" t="n">
        <f aca="false">E111/INDEX(Foods!$D$5:$D$40,MATCH(D111,Foods!$A$5:$A$40,0))*INDEX(Foods!$G$5:$G$40,MATCH(D111,Foods!$A$5:$A$40,0))</f>
        <v>11</v>
      </c>
      <c r="J111" s="124" t="n">
        <f aca="false">E111/INDEX(Foods!$D$5:$D$40,MATCH(D111,Foods!$A$5:$A$40,0))*INDEX(Foods!$H$5:$H$40,MATCH(D111,Foods!$A$5:$A$40,0))</f>
        <v>8</v>
      </c>
      <c r="K111" s="19"/>
    </row>
    <row r="112" customFormat="false" ht="15" hidden="false" customHeight="false" outlineLevel="0" collapsed="false">
      <c r="A112" s="19" t="s">
        <v>586</v>
      </c>
      <c r="B112" s="19" t="s">
        <v>587</v>
      </c>
      <c r="C112" s="19" t="s">
        <v>553</v>
      </c>
      <c r="D112" s="6" t="s">
        <v>486</v>
      </c>
      <c r="E112" s="6" t="n">
        <v>10</v>
      </c>
      <c r="F112" s="19" t="s">
        <v>533</v>
      </c>
      <c r="G112" s="124" t="n">
        <f aca="false">E112/INDEX(Foods!$D$5:$D$40,MATCH(D112,Foods!$A$5:$A$40,0))*INDEX(Foods!$E$5:$E$40,MATCH(D112,Foods!$A$5:$A$40,0))</f>
        <v>55.9</v>
      </c>
      <c r="H112" s="124" t="n">
        <f aca="false">E112/INDEX(Foods!$D$5:$D$40,MATCH(D112,Foods!$A$5:$A$40,0))*INDEX(Foods!$F$5:$F$40,MATCH(D112,Foods!$A$5:$A$40,0))</f>
        <v>3</v>
      </c>
      <c r="I112" s="124" t="n">
        <f aca="false">E112/INDEX(Foods!$D$5:$D$40,MATCH(D112,Foods!$A$5:$A$40,0))*INDEX(Foods!$G$5:$G$40,MATCH(D112,Foods!$A$5:$A$40,0))</f>
        <v>1.1</v>
      </c>
      <c r="J112" s="124" t="n">
        <f aca="false">E112/INDEX(Foods!$D$5:$D$40,MATCH(D112,Foods!$A$5:$A$40,0))*INDEX(Foods!$H$5:$H$40,MATCH(D112,Foods!$A$5:$A$40,0))</f>
        <v>4.9</v>
      </c>
      <c r="K112" s="19"/>
    </row>
    <row r="113" customFormat="false" ht="15" hidden="false" customHeight="false" outlineLevel="0" collapsed="false">
      <c r="A113" s="19" t="s">
        <v>586</v>
      </c>
      <c r="B113" s="19" t="s">
        <v>585</v>
      </c>
      <c r="C113" s="19" t="s">
        <v>555</v>
      </c>
      <c r="D113" s="6" t="s">
        <v>458</v>
      </c>
      <c r="E113" s="6" t="n">
        <v>120</v>
      </c>
      <c r="F113" s="19" t="s">
        <v>533</v>
      </c>
      <c r="G113" s="124" t="n">
        <f aca="false">E113/INDEX(Foods!$D$5:$D$40,MATCH(D113,Foods!$A$5:$A$40,0))*INDEX(Foods!$E$5:$E$40,MATCH(D113,Foods!$A$5:$A$40,0))</f>
        <v>156</v>
      </c>
      <c r="H113" s="124" t="n">
        <f aca="false">E113/INDEX(Foods!$D$5:$D$40,MATCH(D113,Foods!$A$5:$A$40,0))*INDEX(Foods!$F$5:$F$40,MATCH(D113,Foods!$A$5:$A$40,0))</f>
        <v>3.24</v>
      </c>
      <c r="I113" s="124" t="n">
        <f aca="false">E113/INDEX(Foods!$D$5:$D$40,MATCH(D113,Foods!$A$5:$A$40,0))*INDEX(Foods!$G$5:$G$40,MATCH(D113,Foods!$A$5:$A$40,0))</f>
        <v>33.6</v>
      </c>
      <c r="J113" s="124" t="n">
        <f aca="false">E113/INDEX(Foods!$D$5:$D$40,MATCH(D113,Foods!$A$5:$A$40,0))*INDEX(Foods!$H$5:$H$40,MATCH(D113,Foods!$A$5:$A$40,0))</f>
        <v>0.36</v>
      </c>
      <c r="K113" s="19"/>
    </row>
    <row r="114" customFormat="false" ht="15" hidden="false" customHeight="false" outlineLevel="0" collapsed="false">
      <c r="A114" s="19" t="s">
        <v>586</v>
      </c>
      <c r="B114" s="19" t="s">
        <v>585</v>
      </c>
      <c r="C114" s="19" t="s">
        <v>555</v>
      </c>
      <c r="D114" s="6" t="s">
        <v>474</v>
      </c>
      <c r="E114" s="6" t="n">
        <v>120</v>
      </c>
      <c r="F114" s="19" t="s">
        <v>533</v>
      </c>
      <c r="G114" s="124" t="n">
        <f aca="false">E114/INDEX(Foods!$D$5:$D$40,MATCH(D114,Foods!$A$5:$A$40,0))*INDEX(Foods!$E$5:$E$40,MATCH(D114,Foods!$A$5:$A$40,0))</f>
        <v>240</v>
      </c>
      <c r="H114" s="124" t="n">
        <f aca="false">E114/INDEX(Foods!$D$5:$D$40,MATCH(D114,Foods!$A$5:$A$40,0))*INDEX(Foods!$F$5:$F$40,MATCH(D114,Foods!$A$5:$A$40,0))</f>
        <v>33.6</v>
      </c>
      <c r="I114" s="124" t="n">
        <f aca="false">E114/INDEX(Foods!$D$5:$D$40,MATCH(D114,Foods!$A$5:$A$40,0))*INDEX(Foods!$G$5:$G$40,MATCH(D114,Foods!$A$5:$A$40,0))</f>
        <v>0</v>
      </c>
      <c r="J114" s="124" t="n">
        <f aca="false">E114/INDEX(Foods!$D$5:$D$40,MATCH(D114,Foods!$A$5:$A$40,0))*INDEX(Foods!$H$5:$H$40,MATCH(D114,Foods!$A$5:$A$40,0))</f>
        <v>10.8</v>
      </c>
      <c r="K114" s="19"/>
    </row>
    <row r="115" customFormat="false" ht="15" hidden="false" customHeight="false" outlineLevel="0" collapsed="false">
      <c r="A115" s="19" t="s">
        <v>586</v>
      </c>
      <c r="B115" s="19" t="s">
        <v>585</v>
      </c>
      <c r="C115" s="19" t="s">
        <v>555</v>
      </c>
      <c r="D115" s="6" t="s">
        <v>466</v>
      </c>
      <c r="E115" s="6" t="n">
        <v>120</v>
      </c>
      <c r="F115" s="19" t="s">
        <v>533</v>
      </c>
      <c r="G115" s="124" t="n">
        <f aca="false">E115/INDEX(Foods!$D$5:$D$40,MATCH(D115,Foods!$A$5:$A$40,0))*INDEX(Foods!$E$5:$E$40,MATCH(D115,Foods!$A$5:$A$40,0))</f>
        <v>152.4</v>
      </c>
      <c r="H115" s="124" t="n">
        <f aca="false">E115/INDEX(Foods!$D$5:$D$40,MATCH(D115,Foods!$A$5:$A$40,0))*INDEX(Foods!$F$5:$F$40,MATCH(D115,Foods!$A$5:$A$40,0))</f>
        <v>10.44</v>
      </c>
      <c r="I115" s="124" t="n">
        <f aca="false">E115/INDEX(Foods!$D$5:$D$40,MATCH(D115,Foods!$A$5:$A$40,0))*INDEX(Foods!$G$5:$G$40,MATCH(D115,Foods!$A$5:$A$40,0))</f>
        <v>27.6</v>
      </c>
      <c r="J115" s="124" t="n">
        <f aca="false">E115/INDEX(Foods!$D$5:$D$40,MATCH(D115,Foods!$A$5:$A$40,0))*INDEX(Foods!$H$5:$H$40,MATCH(D115,Foods!$A$5:$A$40,0))</f>
        <v>0.6</v>
      </c>
      <c r="K115" s="19"/>
    </row>
    <row r="116" customFormat="false" ht="15" hidden="false" customHeight="false" outlineLevel="0" collapsed="false">
      <c r="A116" s="19" t="s">
        <v>586</v>
      </c>
      <c r="B116" s="19" t="s">
        <v>585</v>
      </c>
      <c r="C116" s="19" t="s">
        <v>555</v>
      </c>
      <c r="D116" s="6" t="s">
        <v>480</v>
      </c>
      <c r="E116" s="6" t="n">
        <v>150</v>
      </c>
      <c r="F116" s="19" t="s">
        <v>533</v>
      </c>
      <c r="G116" s="124" t="n">
        <f aca="false">E116/INDEX(Foods!$D$5:$D$40,MATCH(D116,Foods!$A$5:$A$40,0))*INDEX(Foods!$E$5:$E$40,MATCH(D116,Foods!$A$5:$A$40,0))</f>
        <v>37.5</v>
      </c>
      <c r="H116" s="124" t="n">
        <f aca="false">E116/INDEX(Foods!$D$5:$D$40,MATCH(D116,Foods!$A$5:$A$40,0))*INDEX(Foods!$F$5:$F$40,MATCH(D116,Foods!$A$5:$A$40,0))</f>
        <v>3.75</v>
      </c>
      <c r="I116" s="124" t="n">
        <f aca="false">E116/INDEX(Foods!$D$5:$D$40,MATCH(D116,Foods!$A$5:$A$40,0))*INDEX(Foods!$G$5:$G$40,MATCH(D116,Foods!$A$5:$A$40,0))</f>
        <v>6</v>
      </c>
      <c r="J116" s="124" t="n">
        <f aca="false">E116/INDEX(Foods!$D$5:$D$40,MATCH(D116,Foods!$A$5:$A$40,0))*INDEX(Foods!$H$5:$H$40,MATCH(D116,Foods!$A$5:$A$40,0))</f>
        <v>0.45</v>
      </c>
      <c r="K116" s="19"/>
    </row>
    <row r="117" customFormat="false" ht="15" hidden="false" customHeight="false" outlineLevel="0" collapsed="false">
      <c r="A117" s="19" t="s">
        <v>586</v>
      </c>
      <c r="B117" s="19" t="s">
        <v>585</v>
      </c>
      <c r="C117" s="19" t="s">
        <v>555</v>
      </c>
      <c r="D117" s="6" t="s">
        <v>482</v>
      </c>
      <c r="E117" s="6" t="n">
        <v>100</v>
      </c>
      <c r="F117" s="19" t="s">
        <v>533</v>
      </c>
      <c r="G117" s="124" t="n">
        <f aca="false">E117/INDEX(Foods!$D$5:$D$40,MATCH(D117,Foods!$A$5:$A$40,0))*INDEX(Foods!$E$5:$E$40,MATCH(D117,Foods!$A$5:$A$40,0))</f>
        <v>25</v>
      </c>
      <c r="H117" s="124" t="n">
        <f aca="false">E117/INDEX(Foods!$D$5:$D$40,MATCH(D117,Foods!$A$5:$A$40,0))*INDEX(Foods!$F$5:$F$40,MATCH(D117,Foods!$A$5:$A$40,0))</f>
        <v>1</v>
      </c>
      <c r="I117" s="124" t="n">
        <f aca="false">E117/INDEX(Foods!$D$5:$D$40,MATCH(D117,Foods!$A$5:$A$40,0))*INDEX(Foods!$G$5:$G$40,MATCH(D117,Foods!$A$5:$A$40,0))</f>
        <v>5</v>
      </c>
      <c r="J117" s="124" t="n">
        <f aca="false">E117/INDEX(Foods!$D$5:$D$40,MATCH(D117,Foods!$A$5:$A$40,0))*INDEX(Foods!$H$5:$H$40,MATCH(D117,Foods!$A$5:$A$40,0))</f>
        <v>0.2</v>
      </c>
      <c r="K117" s="19"/>
    </row>
    <row r="118" customFormat="false" ht="15" hidden="false" customHeight="false" outlineLevel="0" collapsed="false">
      <c r="A118" s="19" t="s">
        <v>586</v>
      </c>
      <c r="B118" s="19" t="s">
        <v>585</v>
      </c>
      <c r="C118" s="19" t="s">
        <v>555</v>
      </c>
      <c r="D118" s="6" t="s">
        <v>514</v>
      </c>
      <c r="E118" s="6" t="n">
        <v>1</v>
      </c>
      <c r="F118" s="19" t="s">
        <v>535</v>
      </c>
      <c r="G118" s="124" t="n">
        <f aca="false">E118/INDEX(Foods!$D$5:$D$40,MATCH(D118,Foods!$A$5:$A$40,0))*INDEX(Foods!$E$5:$E$40,MATCH(D118,Foods!$A$5:$A$40,0))</f>
        <v>40</v>
      </c>
      <c r="H118" s="124" t="n">
        <f aca="false">E118/INDEX(Foods!$D$5:$D$40,MATCH(D118,Foods!$A$5:$A$40,0))*INDEX(Foods!$F$5:$F$40,MATCH(D118,Foods!$A$5:$A$40,0))</f>
        <v>0</v>
      </c>
      <c r="I118" s="124" t="n">
        <f aca="false">E118/INDEX(Foods!$D$5:$D$40,MATCH(D118,Foods!$A$5:$A$40,0))*INDEX(Foods!$G$5:$G$40,MATCH(D118,Foods!$A$5:$A$40,0))</f>
        <v>0</v>
      </c>
      <c r="J118" s="124" t="n">
        <f aca="false">E118/INDEX(Foods!$D$5:$D$40,MATCH(D118,Foods!$A$5:$A$40,0))*INDEX(Foods!$H$5:$H$40,MATCH(D118,Foods!$A$5:$A$40,0))</f>
        <v>4.5</v>
      </c>
      <c r="K118" s="19"/>
    </row>
    <row r="119" customFormat="false" ht="15" hidden="false" customHeight="false" outlineLevel="0" collapsed="false">
      <c r="A119" s="19" t="s">
        <v>586</v>
      </c>
      <c r="B119" s="19" t="s">
        <v>556</v>
      </c>
      <c r="C119" s="19" t="s">
        <v>588</v>
      </c>
      <c r="D119" s="6" t="s">
        <v>507</v>
      </c>
      <c r="E119" s="6" t="n">
        <v>1</v>
      </c>
      <c r="F119" s="19" t="s">
        <v>535</v>
      </c>
      <c r="G119" s="124" t="n">
        <f aca="false">E119/INDEX(Foods!$D$5:$D$40,MATCH(D119,Foods!$A$5:$A$40,0))*INDEX(Foods!$E$5:$E$40,MATCH(D119,Foods!$A$5:$A$40,0))</f>
        <v>105</v>
      </c>
      <c r="H119" s="124" t="n">
        <f aca="false">E119/INDEX(Foods!$D$5:$D$40,MATCH(D119,Foods!$A$5:$A$40,0))*INDEX(Foods!$F$5:$F$40,MATCH(D119,Foods!$A$5:$A$40,0))</f>
        <v>1.3</v>
      </c>
      <c r="I119" s="124" t="n">
        <f aca="false">E119/INDEX(Foods!$D$5:$D$40,MATCH(D119,Foods!$A$5:$A$40,0))*INDEX(Foods!$G$5:$G$40,MATCH(D119,Foods!$A$5:$A$40,0))</f>
        <v>27</v>
      </c>
      <c r="J119" s="124" t="n">
        <f aca="false">E119/INDEX(Foods!$D$5:$D$40,MATCH(D119,Foods!$A$5:$A$40,0))*INDEX(Foods!$H$5:$H$40,MATCH(D119,Foods!$A$5:$A$40,0))</f>
        <v>0.4</v>
      </c>
      <c r="K119" s="19" t="s">
        <v>589</v>
      </c>
    </row>
    <row r="120" customFormat="false" ht="15" hidden="false" customHeight="false" outlineLevel="0" collapsed="false">
      <c r="A120" s="19" t="s">
        <v>586</v>
      </c>
      <c r="B120" s="19" t="s">
        <v>559</v>
      </c>
      <c r="C120" s="19" t="s">
        <v>560</v>
      </c>
      <c r="D120" s="6" t="s">
        <v>460</v>
      </c>
      <c r="E120" s="6" t="n">
        <v>200</v>
      </c>
      <c r="F120" s="19" t="s">
        <v>533</v>
      </c>
      <c r="G120" s="124" t="n">
        <f aca="false">E120/INDEX(Foods!$D$5:$D$40,MATCH(D120,Foods!$A$5:$A$40,0))*INDEX(Foods!$E$5:$E$40,MATCH(D120,Foods!$A$5:$A$40,0))</f>
        <v>172</v>
      </c>
      <c r="H120" s="124" t="n">
        <f aca="false">E120/INDEX(Foods!$D$5:$D$40,MATCH(D120,Foods!$A$5:$A$40,0))*INDEX(Foods!$F$5:$F$40,MATCH(D120,Foods!$A$5:$A$40,0))</f>
        <v>3.2</v>
      </c>
      <c r="I120" s="124" t="n">
        <f aca="false">E120/INDEX(Foods!$D$5:$D$40,MATCH(D120,Foods!$A$5:$A$40,0))*INDEX(Foods!$G$5:$G$40,MATCH(D120,Foods!$A$5:$A$40,0))</f>
        <v>40</v>
      </c>
      <c r="J120" s="124" t="n">
        <f aca="false">E120/INDEX(Foods!$D$5:$D$40,MATCH(D120,Foods!$A$5:$A$40,0))*INDEX(Foods!$H$5:$H$40,MATCH(D120,Foods!$A$5:$A$40,0))</f>
        <v>0.2</v>
      </c>
      <c r="K120" s="19" t="s">
        <v>590</v>
      </c>
    </row>
    <row r="121" customFormat="false" ht="15" hidden="false" customHeight="false" outlineLevel="0" collapsed="false">
      <c r="A121" s="19" t="s">
        <v>586</v>
      </c>
      <c r="B121" s="19" t="s">
        <v>559</v>
      </c>
      <c r="C121" s="19" t="s">
        <v>560</v>
      </c>
      <c r="D121" s="6" t="s">
        <v>476</v>
      </c>
      <c r="E121" s="6" t="n">
        <v>30</v>
      </c>
      <c r="F121" s="19" t="s">
        <v>533</v>
      </c>
      <c r="G121" s="124" t="n">
        <f aca="false">E121/INDEX(Foods!$D$5:$D$40,MATCH(D121,Foods!$A$5:$A$40,0))*INDEX(Foods!$E$5:$E$40,MATCH(D121,Foods!$A$5:$A$40,0))</f>
        <v>99</v>
      </c>
      <c r="H121" s="124" t="n">
        <f aca="false">E121/INDEX(Foods!$D$5:$D$40,MATCH(D121,Foods!$A$5:$A$40,0))*INDEX(Foods!$F$5:$F$40,MATCH(D121,Foods!$A$5:$A$40,0))</f>
        <v>18</v>
      </c>
      <c r="I121" s="124" t="n">
        <f aca="false">E121/INDEX(Foods!$D$5:$D$40,MATCH(D121,Foods!$A$5:$A$40,0))*INDEX(Foods!$G$5:$G$40,MATCH(D121,Foods!$A$5:$A$40,0))</f>
        <v>0</v>
      </c>
      <c r="J121" s="124" t="n">
        <f aca="false">E121/INDEX(Foods!$D$5:$D$40,MATCH(D121,Foods!$A$5:$A$40,0))*INDEX(Foods!$H$5:$H$40,MATCH(D121,Foods!$A$5:$A$40,0))</f>
        <v>2.7</v>
      </c>
      <c r="K121" s="19"/>
    </row>
    <row r="122" customFormat="false" ht="15" hidden="false" customHeight="false" outlineLevel="0" collapsed="false">
      <c r="A122" s="19" t="s">
        <v>586</v>
      </c>
      <c r="B122" s="19" t="s">
        <v>559</v>
      </c>
      <c r="C122" s="19" t="s">
        <v>560</v>
      </c>
      <c r="D122" s="6" t="s">
        <v>470</v>
      </c>
      <c r="E122" s="6" t="n">
        <v>80</v>
      </c>
      <c r="F122" s="19" t="s">
        <v>533</v>
      </c>
      <c r="G122" s="124" t="n">
        <f aca="false">E122/INDEX(Foods!$D$5:$D$40,MATCH(D122,Foods!$A$5:$A$40,0))*INDEX(Foods!$E$5:$E$40,MATCH(D122,Foods!$A$5:$A$40,0))</f>
        <v>132</v>
      </c>
      <c r="H122" s="124" t="n">
        <f aca="false">E122/INDEX(Foods!$D$5:$D$40,MATCH(D122,Foods!$A$5:$A$40,0))*INDEX(Foods!$F$5:$F$40,MATCH(D122,Foods!$A$5:$A$40,0))</f>
        <v>24.8</v>
      </c>
      <c r="I122" s="124" t="n">
        <f aca="false">E122/INDEX(Foods!$D$5:$D$40,MATCH(D122,Foods!$A$5:$A$40,0))*INDEX(Foods!$G$5:$G$40,MATCH(D122,Foods!$A$5:$A$40,0))</f>
        <v>0</v>
      </c>
      <c r="J122" s="124" t="n">
        <f aca="false">E122/INDEX(Foods!$D$5:$D$40,MATCH(D122,Foods!$A$5:$A$40,0))*INDEX(Foods!$H$5:$H$40,MATCH(D122,Foods!$A$5:$A$40,0))</f>
        <v>2.88</v>
      </c>
      <c r="K122" s="19"/>
    </row>
    <row r="123" customFormat="false" ht="15" hidden="false" customHeight="false" outlineLevel="0" collapsed="false">
      <c r="A123" s="19" t="s">
        <v>586</v>
      </c>
      <c r="B123" s="19" t="s">
        <v>559</v>
      </c>
      <c r="C123" s="19" t="s">
        <v>560</v>
      </c>
      <c r="D123" s="6" t="s">
        <v>480</v>
      </c>
      <c r="E123" s="6" t="n">
        <v>150</v>
      </c>
      <c r="F123" s="19" t="s">
        <v>533</v>
      </c>
      <c r="G123" s="124" t="n">
        <f aca="false">E123/INDEX(Foods!$D$5:$D$40,MATCH(D123,Foods!$A$5:$A$40,0))*INDEX(Foods!$E$5:$E$40,MATCH(D123,Foods!$A$5:$A$40,0))</f>
        <v>37.5</v>
      </c>
      <c r="H123" s="124" t="n">
        <f aca="false">E123/INDEX(Foods!$D$5:$D$40,MATCH(D123,Foods!$A$5:$A$40,0))*INDEX(Foods!$F$5:$F$40,MATCH(D123,Foods!$A$5:$A$40,0))</f>
        <v>3.75</v>
      </c>
      <c r="I123" s="124" t="n">
        <f aca="false">E123/INDEX(Foods!$D$5:$D$40,MATCH(D123,Foods!$A$5:$A$40,0))*INDEX(Foods!$G$5:$G$40,MATCH(D123,Foods!$A$5:$A$40,0))</f>
        <v>6</v>
      </c>
      <c r="J123" s="124" t="n">
        <f aca="false">E123/INDEX(Foods!$D$5:$D$40,MATCH(D123,Foods!$A$5:$A$40,0))*INDEX(Foods!$H$5:$H$40,MATCH(D123,Foods!$A$5:$A$40,0))</f>
        <v>0.45</v>
      </c>
      <c r="K123" s="19"/>
    </row>
    <row r="124" customFormat="false" ht="15" hidden="false" customHeight="false" outlineLevel="0" collapsed="false">
      <c r="A124" s="19" t="s">
        <v>586</v>
      </c>
      <c r="B124" s="19" t="s">
        <v>559</v>
      </c>
      <c r="C124" s="19" t="s">
        <v>560</v>
      </c>
      <c r="D124" s="6" t="s">
        <v>514</v>
      </c>
      <c r="E124" s="6" t="n">
        <v>1</v>
      </c>
      <c r="F124" s="19" t="s">
        <v>535</v>
      </c>
      <c r="G124" s="124" t="n">
        <f aca="false">E124/INDEX(Foods!$D$5:$D$40,MATCH(D124,Foods!$A$5:$A$40,0))*INDEX(Foods!$E$5:$E$40,MATCH(D124,Foods!$A$5:$A$40,0))</f>
        <v>40</v>
      </c>
      <c r="H124" s="124" t="n">
        <f aca="false">E124/INDEX(Foods!$D$5:$D$40,MATCH(D124,Foods!$A$5:$A$40,0))*INDEX(Foods!$F$5:$F$40,MATCH(D124,Foods!$A$5:$A$40,0))</f>
        <v>0</v>
      </c>
      <c r="I124" s="124" t="n">
        <f aca="false">E124/INDEX(Foods!$D$5:$D$40,MATCH(D124,Foods!$A$5:$A$40,0))*INDEX(Foods!$G$5:$G$40,MATCH(D124,Foods!$A$5:$A$40,0))</f>
        <v>0</v>
      </c>
      <c r="J124" s="124" t="n">
        <f aca="false">E124/INDEX(Foods!$D$5:$D$40,MATCH(D124,Foods!$A$5:$A$40,0))*INDEX(Foods!$H$5:$H$40,MATCH(D124,Foods!$A$5:$A$40,0))</f>
        <v>4.5</v>
      </c>
      <c r="K124" s="19"/>
    </row>
  </sheetData>
  <dataValidations count="1">
    <dataValidation allowBlank="false" errorStyle="stop" operator="between" showDropDown="false" showErrorMessage="false" showInputMessage="false" sqref="D5:D124" type="list">
      <formula1>Foods!$A$5:$A$40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0"/>
  </cols>
  <sheetData>
    <row r="1" customFormat="false" ht="18.55" hidden="false" customHeight="false" outlineLevel="0" collapsed="false">
      <c r="A1" s="1" t="s">
        <v>591</v>
      </c>
    </row>
    <row r="2" customFormat="false" ht="15" hidden="false" customHeight="false" outlineLevel="0" collapsed="false">
      <c r="A2" s="2" t="s">
        <v>592</v>
      </c>
    </row>
    <row r="4" customFormat="false" ht="23.85" hidden="false" customHeight="false" outlineLevel="0" collapsed="false">
      <c r="A4" s="18" t="s">
        <v>593</v>
      </c>
      <c r="B4" s="18" t="s">
        <v>594</v>
      </c>
      <c r="C4" s="18" t="s">
        <v>595</v>
      </c>
      <c r="D4" s="18" t="s">
        <v>596</v>
      </c>
      <c r="E4" s="18" t="s">
        <v>597</v>
      </c>
      <c r="F4" s="18" t="s">
        <v>598</v>
      </c>
      <c r="G4" s="18" t="s">
        <v>599</v>
      </c>
      <c r="H4" s="18" t="s">
        <v>600</v>
      </c>
      <c r="I4" s="18" t="s">
        <v>601</v>
      </c>
      <c r="J4" s="18" t="s">
        <v>602</v>
      </c>
    </row>
    <row r="5" customFormat="false" ht="15" hidden="false" customHeight="false" outlineLevel="0" collapsed="false">
      <c r="A5" s="19" t="s">
        <v>530</v>
      </c>
      <c r="B5" s="6" t="n">
        <v>1800</v>
      </c>
      <c r="C5" s="6" t="n">
        <v>125</v>
      </c>
      <c r="D5" s="6" t="n">
        <v>190</v>
      </c>
      <c r="E5" s="6" t="n">
        <v>62</v>
      </c>
      <c r="F5" s="10" t="n">
        <f aca="false">SUMIFS('Meal Plan'!$G$5:$G$124,'Meal Plan'!$A$5:$A$124,A5)</f>
        <v>1800.05</v>
      </c>
      <c r="G5" s="10" t="n">
        <f aca="false">SUMIFS('Meal Plan'!$H$5:$H$124,'Meal Plan'!$A$5:$A$124,A5)</f>
        <v>122.13</v>
      </c>
      <c r="H5" s="10" t="n">
        <f aca="false">SUMIFS('Meal Plan'!$I$5:$I$124,'Meal Plan'!$A$5:$A$124,A5)</f>
        <v>194.8</v>
      </c>
      <c r="I5" s="10" t="n">
        <f aca="false">SUMIFS('Meal Plan'!$J$5:$J$124,'Meal Plan'!$A$5:$A$124,A5)</f>
        <v>60.64</v>
      </c>
      <c r="J5" s="125" t="n">
        <f aca="false">F5-B5</f>
        <v>0.0499999999999545</v>
      </c>
    </row>
    <row r="6" customFormat="false" ht="15" hidden="false" customHeight="false" outlineLevel="0" collapsed="false">
      <c r="A6" s="19" t="s">
        <v>545</v>
      </c>
      <c r="B6" s="6" t="n">
        <v>2050</v>
      </c>
      <c r="C6" s="6" t="n">
        <v>140</v>
      </c>
      <c r="D6" s="6" t="n">
        <v>230</v>
      </c>
      <c r="E6" s="6" t="n">
        <v>65</v>
      </c>
      <c r="F6" s="10" t="n">
        <f aca="false">SUMIFS('Meal Plan'!$G$5:$G$124,'Meal Plan'!$A$5:$A$124,A6)</f>
        <v>2010.1</v>
      </c>
      <c r="G6" s="10" t="n">
        <f aca="false">SUMIFS('Meal Plan'!$H$5:$H$124,'Meal Plan'!$A$5:$A$124,A6)</f>
        <v>135.52</v>
      </c>
      <c r="H6" s="10" t="n">
        <f aca="false">SUMIFS('Meal Plan'!$I$5:$I$124,'Meal Plan'!$A$5:$A$124,A6)</f>
        <v>230.7</v>
      </c>
      <c r="I6" s="10" t="n">
        <f aca="false">SUMIFS('Meal Plan'!$J$5:$J$124,'Meal Plan'!$A$5:$A$124,A6)</f>
        <v>64.88</v>
      </c>
      <c r="J6" s="125" t="n">
        <f aca="false">F6-B6</f>
        <v>-39.9000000000001</v>
      </c>
    </row>
    <row r="7" customFormat="false" ht="15" hidden="false" customHeight="false" outlineLevel="0" collapsed="false">
      <c r="A7" s="19" t="s">
        <v>561</v>
      </c>
      <c r="B7" s="6" t="n">
        <v>2000</v>
      </c>
      <c r="C7" s="6" t="n">
        <v>140</v>
      </c>
      <c r="D7" s="6" t="n">
        <v>220</v>
      </c>
      <c r="E7" s="6" t="n">
        <v>65</v>
      </c>
      <c r="F7" s="10" t="n">
        <f aca="false">SUMIFS('Meal Plan'!$G$5:$G$124,'Meal Plan'!$A$5:$A$124,A7)</f>
        <v>2000.35</v>
      </c>
      <c r="G7" s="10" t="n">
        <f aca="false">SUMIFS('Meal Plan'!$H$5:$H$124,'Meal Plan'!$A$5:$A$124,A7)</f>
        <v>139.78</v>
      </c>
      <c r="H7" s="10" t="n">
        <f aca="false">SUMIFS('Meal Plan'!$I$5:$I$124,'Meal Plan'!$A$5:$A$124,A7)</f>
        <v>223.25</v>
      </c>
      <c r="I7" s="10" t="n">
        <f aca="false">SUMIFS('Meal Plan'!$J$5:$J$124,'Meal Plan'!$A$5:$A$124,A7)</f>
        <v>62.87</v>
      </c>
      <c r="J7" s="125" t="n">
        <f aca="false">F7-B7</f>
        <v>0.349999999999909</v>
      </c>
    </row>
    <row r="8" customFormat="false" ht="15" hidden="false" customHeight="false" outlineLevel="0" collapsed="false">
      <c r="A8" s="19" t="s">
        <v>567</v>
      </c>
      <c r="B8" s="6" t="n">
        <v>1800</v>
      </c>
      <c r="C8" s="6" t="n">
        <v>125</v>
      </c>
      <c r="D8" s="6" t="n">
        <v>190</v>
      </c>
      <c r="E8" s="6" t="n">
        <v>62</v>
      </c>
      <c r="F8" s="10" t="n">
        <f aca="false">SUMIFS('Meal Plan'!$G$5:$G$124,'Meal Plan'!$A$5:$A$124,A8)</f>
        <v>1800.2</v>
      </c>
      <c r="G8" s="10" t="n">
        <f aca="false">SUMIFS('Meal Plan'!$H$5:$H$124,'Meal Plan'!$A$5:$A$124,A8)</f>
        <v>122.75</v>
      </c>
      <c r="H8" s="10" t="n">
        <f aca="false">SUMIFS('Meal Plan'!$I$5:$I$124,'Meal Plan'!$A$5:$A$124,A8)</f>
        <v>193.4</v>
      </c>
      <c r="I8" s="10" t="n">
        <f aca="false">SUMIFS('Meal Plan'!$J$5:$J$124,'Meal Plan'!$A$5:$A$124,A8)</f>
        <v>63.85</v>
      </c>
      <c r="J8" s="125" t="n">
        <f aca="false">F8-B8</f>
        <v>0.200000000000045</v>
      </c>
    </row>
    <row r="9" customFormat="false" ht="15" hidden="false" customHeight="false" outlineLevel="0" collapsed="false">
      <c r="A9" s="19" t="s">
        <v>571</v>
      </c>
      <c r="B9" s="6" t="n">
        <v>2000</v>
      </c>
      <c r="C9" s="6" t="n">
        <v>140</v>
      </c>
      <c r="D9" s="6" t="n">
        <v>220</v>
      </c>
      <c r="E9" s="6" t="n">
        <v>65</v>
      </c>
      <c r="F9" s="10" t="n">
        <f aca="false">SUMIFS('Meal Plan'!$G$5:$G$124,'Meal Plan'!$A$5:$A$124,A9)</f>
        <v>2000.15</v>
      </c>
      <c r="G9" s="10" t="n">
        <f aca="false">SUMIFS('Meal Plan'!$H$5:$H$124,'Meal Plan'!$A$5:$A$124,A9)</f>
        <v>139.67</v>
      </c>
      <c r="H9" s="10" t="n">
        <f aca="false">SUMIFS('Meal Plan'!$I$5:$I$124,'Meal Plan'!$A$5:$A$124,A9)</f>
        <v>218.1</v>
      </c>
      <c r="I9" s="10" t="n">
        <f aca="false">SUMIFS('Meal Plan'!$J$5:$J$124,'Meal Plan'!$A$5:$A$124,A9)</f>
        <v>67.6</v>
      </c>
      <c r="J9" s="125" t="n">
        <f aca="false">F9-B9</f>
        <v>0.150000000000091</v>
      </c>
    </row>
    <row r="10" customFormat="false" ht="15" hidden="false" customHeight="false" outlineLevel="0" collapsed="false">
      <c r="A10" s="19" t="s">
        <v>575</v>
      </c>
      <c r="B10" s="6" t="n">
        <v>2300</v>
      </c>
      <c r="C10" s="6" t="n">
        <v>135</v>
      </c>
      <c r="D10" s="6" t="n">
        <v>310</v>
      </c>
      <c r="E10" s="6" t="n">
        <v>60</v>
      </c>
      <c r="F10" s="10" t="n">
        <f aca="false">SUMIFS('Meal Plan'!$G$5:$G$124,'Meal Plan'!$A$5:$A$124,A10)</f>
        <v>2290.5</v>
      </c>
      <c r="G10" s="10" t="n">
        <f aca="false">SUMIFS('Meal Plan'!$H$5:$H$124,'Meal Plan'!$A$5:$A$124,A10)</f>
        <v>142.37</v>
      </c>
      <c r="H10" s="10" t="n">
        <f aca="false">SUMIFS('Meal Plan'!$I$5:$I$124,'Meal Plan'!$A$5:$A$124,A10)</f>
        <v>314</v>
      </c>
      <c r="I10" s="10" t="n">
        <f aca="false">SUMIFS('Meal Plan'!$J$5:$J$124,'Meal Plan'!$A$5:$A$124,A10)</f>
        <v>56.48</v>
      </c>
      <c r="J10" s="125" t="n">
        <f aca="false">F10-B10</f>
        <v>-9.5</v>
      </c>
    </row>
    <row r="11" customFormat="false" ht="15" hidden="false" customHeight="false" outlineLevel="0" collapsed="false">
      <c r="A11" s="19" t="s">
        <v>586</v>
      </c>
      <c r="B11" s="6" t="n">
        <v>1950</v>
      </c>
      <c r="C11" s="6" t="n">
        <v>140</v>
      </c>
      <c r="D11" s="6" t="n">
        <v>205</v>
      </c>
      <c r="E11" s="6" t="n">
        <v>65</v>
      </c>
      <c r="F11" s="10" t="n">
        <f aca="false">SUMIFS('Meal Plan'!$G$5:$G$124,'Meal Plan'!$A$5:$A$124,A11)</f>
        <v>1955.3</v>
      </c>
      <c r="G11" s="10" t="n">
        <f aca="false">SUMIFS('Meal Plan'!$H$5:$H$124,'Meal Plan'!$A$5:$A$124,A11)</f>
        <v>142.18</v>
      </c>
      <c r="H11" s="10" t="n">
        <f aca="false">SUMIFS('Meal Plan'!$I$5:$I$124,'Meal Plan'!$A$5:$A$124,A11)</f>
        <v>205.4</v>
      </c>
      <c r="I11" s="10" t="n">
        <f aca="false">SUMIFS('Meal Plan'!$J$5:$J$124,'Meal Plan'!$A$5:$A$124,A11)</f>
        <v>65.2</v>
      </c>
      <c r="J11" s="125" t="n">
        <f aca="false">F11-B11</f>
        <v>5.29999999999995</v>
      </c>
    </row>
    <row r="12" customFormat="false" ht="15" hidden="false" customHeight="false" outlineLevel="0" collapsed="false">
      <c r="A12" s="5" t="s">
        <v>603</v>
      </c>
      <c r="B12" s="126" t="n">
        <f aca="false">AVERAGE(B5:B11)</f>
        <v>1985.71428571429</v>
      </c>
      <c r="C12" s="126" t="n">
        <f aca="false">AVERAGE(C5:C11)</f>
        <v>135</v>
      </c>
      <c r="D12" s="126" t="n">
        <f aca="false">AVERAGE(D5:D11)</f>
        <v>223.571428571429</v>
      </c>
      <c r="E12" s="126" t="n">
        <f aca="false">AVERAGE(E5:E11)</f>
        <v>63.4285714285714</v>
      </c>
      <c r="F12" s="126" t="n">
        <f aca="false">AVERAGE(F5:F11)</f>
        <v>1979.52142857143</v>
      </c>
      <c r="G12" s="126" t="n">
        <f aca="false">AVERAGE(G5:G11)</f>
        <v>134.914285714286</v>
      </c>
      <c r="H12" s="126" t="n">
        <f aca="false">AVERAGE(H5:H11)</f>
        <v>225.664285714286</v>
      </c>
      <c r="I12" s="126" t="n">
        <f aca="false">AVERAGE(I5:I11)</f>
        <v>63.0742857142857</v>
      </c>
      <c r="J12" s="126" t="n">
        <f aca="false">AVERAGE(J5:J11)</f>
        <v>-6.19285714285716</v>
      </c>
    </row>
    <row r="14" customFormat="false" ht="15" hidden="false" customHeight="false" outlineLevel="0" collapsed="false">
      <c r="A14" s="3" t="s">
        <v>604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true" outlineLevel="0" collapsed="false">
      <c r="A15" s="19" t="s">
        <v>605</v>
      </c>
      <c r="B15" s="19" t="s">
        <v>606</v>
      </c>
      <c r="C15" s="19"/>
      <c r="D15" s="19"/>
      <c r="E15" s="19"/>
      <c r="F15" s="19"/>
      <c r="G15" s="19"/>
      <c r="H15" s="19"/>
      <c r="I15" s="19"/>
      <c r="J15" s="19"/>
    </row>
    <row r="16" customFormat="false" ht="15" hidden="false" customHeight="true" outlineLevel="0" collapsed="false">
      <c r="A16" s="19" t="s">
        <v>607</v>
      </c>
      <c r="B16" s="19" t="s">
        <v>608</v>
      </c>
      <c r="C16" s="19"/>
      <c r="D16" s="19"/>
      <c r="E16" s="19"/>
      <c r="F16" s="19"/>
      <c r="G16" s="19"/>
      <c r="H16" s="19"/>
      <c r="I16" s="19"/>
      <c r="J16" s="19"/>
    </row>
    <row r="17" customFormat="false" ht="23.85" hidden="false" customHeight="true" outlineLevel="0" collapsed="false">
      <c r="A17" s="19" t="s">
        <v>609</v>
      </c>
      <c r="B17" s="19" t="s">
        <v>610</v>
      </c>
      <c r="C17" s="19"/>
      <c r="D17" s="19"/>
      <c r="E17" s="19"/>
      <c r="F17" s="19"/>
      <c r="G17" s="19"/>
      <c r="H17" s="19"/>
      <c r="I17" s="19"/>
      <c r="J17" s="19"/>
    </row>
    <row r="18" customFormat="false" ht="23.85" hidden="false" customHeight="true" outlineLevel="0" collapsed="false">
      <c r="A18" s="19" t="s">
        <v>611</v>
      </c>
      <c r="B18" s="19" t="s">
        <v>612</v>
      </c>
      <c r="C18" s="19"/>
      <c r="D18" s="19"/>
      <c r="E18" s="19"/>
      <c r="F18" s="19"/>
      <c r="G18" s="19"/>
      <c r="H18" s="19"/>
      <c r="I18" s="19"/>
      <c r="J18" s="19"/>
    </row>
    <row r="19" customFormat="false" ht="15" hidden="false" customHeight="true" outlineLevel="0" collapsed="false">
      <c r="A19" s="19" t="s">
        <v>613</v>
      </c>
      <c r="B19" s="19" t="s">
        <v>614</v>
      </c>
      <c r="C19" s="19"/>
      <c r="D19" s="19"/>
      <c r="E19" s="19"/>
      <c r="F19" s="19"/>
      <c r="G19" s="19"/>
      <c r="H19" s="19"/>
      <c r="I19" s="19"/>
      <c r="J19" s="19"/>
    </row>
    <row r="20" customFormat="false" ht="15" hidden="false" customHeight="true" outlineLevel="0" collapsed="false">
      <c r="A20" s="19" t="s">
        <v>615</v>
      </c>
      <c r="B20" s="19" t="s">
        <v>616</v>
      </c>
      <c r="C20" s="19"/>
      <c r="D20" s="19"/>
      <c r="E20" s="19"/>
      <c r="F20" s="19"/>
      <c r="G20" s="19"/>
      <c r="H20" s="19"/>
      <c r="I20" s="19"/>
      <c r="J20" s="19"/>
    </row>
  </sheetData>
  <mergeCells count="6">
    <mergeCell ref="B15:J15"/>
    <mergeCell ref="B16:J16"/>
    <mergeCell ref="B17:J17"/>
    <mergeCell ref="B18:J18"/>
    <mergeCell ref="B19:J19"/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6" min="3" style="0" width="11"/>
    <col collapsed="false" customWidth="true" hidden="false" outlineLevel="0" max="10" min="7" style="0" width="9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8.55" hidden="false" customHeight="false" outlineLevel="0" collapsed="false">
      <c r="A1" s="1" t="s">
        <v>617</v>
      </c>
    </row>
    <row r="2" customFormat="false" ht="15" hidden="false" customHeight="false" outlineLevel="0" collapsed="false">
      <c r="A2" s="2" t="s">
        <v>618</v>
      </c>
    </row>
    <row r="4" customFormat="false" ht="15" hidden="false" customHeight="false" outlineLevel="0" collapsed="false">
      <c r="A4" s="5" t="s">
        <v>619</v>
      </c>
      <c r="B4" s="6" t="n">
        <v>1.15</v>
      </c>
    </row>
    <row r="5" customFormat="false" ht="15" hidden="false" customHeight="false" outlineLevel="0" collapsed="false">
      <c r="A5" s="5" t="s">
        <v>620</v>
      </c>
      <c r="B5" s="6" t="n">
        <v>1</v>
      </c>
    </row>
    <row r="6" customFormat="false" ht="23.85" hidden="false" customHeight="false" outlineLevel="0" collapsed="false">
      <c r="A6" s="5" t="s">
        <v>621</v>
      </c>
      <c r="B6" s="127" t="n">
        <f aca="false">(21.0975-8*B4-2*B5)/11.0975</f>
        <v>0.891867537733724</v>
      </c>
    </row>
    <row r="7" customFormat="false" ht="23.85" hidden="false" customHeight="false" outlineLevel="0" collapsed="false">
      <c r="A7" s="5" t="s">
        <v>622</v>
      </c>
      <c r="B7" s="6" t="n">
        <v>1.08</v>
      </c>
    </row>
    <row r="9" customFormat="false" ht="23.85" hidden="false" customHeight="false" outlineLevel="0" collapsed="false">
      <c r="A9" s="18" t="s">
        <v>623</v>
      </c>
      <c r="B9" s="18" t="s">
        <v>624</v>
      </c>
      <c r="C9" s="18" t="s">
        <v>625</v>
      </c>
      <c r="D9" s="18" t="s">
        <v>626</v>
      </c>
      <c r="E9" s="18" t="s">
        <v>627</v>
      </c>
      <c r="F9" s="18" t="s">
        <v>628</v>
      </c>
      <c r="G9" s="18" t="s">
        <v>629</v>
      </c>
      <c r="H9" s="18" t="s">
        <v>630</v>
      </c>
      <c r="I9" s="18" t="s">
        <v>631</v>
      </c>
      <c r="J9" s="18" t="s">
        <v>632</v>
      </c>
      <c r="K9" s="18" t="s">
        <v>633</v>
      </c>
      <c r="L9" s="128" t="s">
        <v>634</v>
      </c>
    </row>
    <row r="10" customFormat="false" ht="15" hidden="false" customHeight="false" outlineLevel="0" collapsed="false">
      <c r="A10" s="5" t="s">
        <v>635</v>
      </c>
      <c r="B10" s="19" t="s">
        <v>636</v>
      </c>
      <c r="C10" s="11" t="n">
        <f aca="false">($L10/21.0975)/1440</f>
        <v>0.00592487261523877</v>
      </c>
      <c r="D10" s="11" t="n">
        <f aca="false">($L10/21.0975)*$B$4/1440</f>
        <v>0.00681360350752459</v>
      </c>
      <c r="E10" s="11" t="n">
        <f aca="false">($L10/21.0975)*$B$5/1440</f>
        <v>0.00592487261523877</v>
      </c>
      <c r="F10" s="11" t="n">
        <f aca="false">($L10/21.0975)*$B$6/1440</f>
        <v>0.00528420155073897</v>
      </c>
      <c r="G10" s="12" t="n">
        <f aca="false">(MIN(5,8)*$B$4*($L10/21.0975))/1440</f>
        <v>0.0340680175376229</v>
      </c>
      <c r="H10" s="12" t="n">
        <f aca="false">(MIN(10,8)*$B$4*($L10/21.0975)+MIN(10-8,2)*$B$5*($L10/21.0975))/1440</f>
        <v>0.0663585732906742</v>
      </c>
      <c r="I10" s="12" t="n">
        <f aca="false">(MIN(15,8)*$B$4*($L10/21.0975)+MIN(15-8,2)*$B$5*($L10/21.0975)+(15-10)*$B$6*($L10/21.0975))/1440</f>
        <v>0.0927795810443691</v>
      </c>
      <c r="J10" s="12" t="n">
        <f aca="false">(MIN(20,8)*$B$4*($L10/21.0975)+MIN(20-8,2)*$B$5*($L10/21.0975)+(20-10)*$B$6*($L10/21.0975))/1440</f>
        <v>0.119200588798064</v>
      </c>
      <c r="K10" s="129" t="n">
        <f aca="false">TIME(7,0,0)+L10/1440</f>
        <v>0.416666666666667</v>
      </c>
      <c r="L10" s="6" t="n">
        <v>180</v>
      </c>
    </row>
    <row r="11" customFormat="false" ht="15" hidden="false" customHeight="false" outlineLevel="0" collapsed="false">
      <c r="A11" s="5" t="s">
        <v>637</v>
      </c>
      <c r="B11" s="19" t="s">
        <v>638</v>
      </c>
      <c r="C11" s="11" t="n">
        <f aca="false">($L11/21.0975)/1440</f>
        <v>0.006418611999842</v>
      </c>
      <c r="D11" s="11" t="n">
        <f aca="false">($L11/21.0975)*$B$4/1440</f>
        <v>0.0073814037998183</v>
      </c>
      <c r="E11" s="11" t="n">
        <f aca="false">($L11/21.0975)*$B$5/1440</f>
        <v>0.006418611999842</v>
      </c>
      <c r="F11" s="11" t="n">
        <f aca="false">($L11/21.0975)*$B$6/1440</f>
        <v>0.00572455167996722</v>
      </c>
      <c r="G11" s="12" t="n">
        <f aca="false">(MIN(5,8)*$B$4*($L11/21.0975))/1440</f>
        <v>0.0369070189990915</v>
      </c>
      <c r="H11" s="12" t="n">
        <f aca="false">(MIN(10,8)*$B$4*($L11/21.0975)+MIN(10-8,2)*$B$5*($L11/21.0975))/1440</f>
        <v>0.0718884543982304</v>
      </c>
      <c r="I11" s="12" t="n">
        <f aca="false">(MIN(15,8)*$B$4*($L11/21.0975)+MIN(15-8,2)*$B$5*($L11/21.0975)+(15-10)*$B$6*($L11/21.0975))/1440</f>
        <v>0.100511212798067</v>
      </c>
      <c r="J11" s="12" t="n">
        <f aca="false">(MIN(20,8)*$B$4*($L11/21.0975)+MIN(20-8,2)*$B$5*($L11/21.0975)+(20-10)*$B$6*($L11/21.0975))/1440</f>
        <v>0.129133971197903</v>
      </c>
      <c r="K11" s="129" t="n">
        <f aca="false">TIME(7,0,0)+L11/1440</f>
        <v>0.427083333333333</v>
      </c>
      <c r="L11" s="6" t="n">
        <v>195</v>
      </c>
    </row>
    <row r="12" customFormat="false" ht="15" hidden="false" customHeight="false" outlineLevel="0" collapsed="false">
      <c r="A12" s="5" t="s">
        <v>639</v>
      </c>
      <c r="B12" s="19" t="s">
        <v>640</v>
      </c>
      <c r="C12" s="11" t="n">
        <f aca="false">($L12/21.0975)/1440</f>
        <v>0.00691235138444523</v>
      </c>
      <c r="D12" s="11" t="n">
        <f aca="false">($L12/21.0975)*$B$4/1440</f>
        <v>0.00794920409211202</v>
      </c>
      <c r="E12" s="11" t="n">
        <f aca="false">($L12/21.0975)*$B$5/1440</f>
        <v>0.00691235138444523</v>
      </c>
      <c r="F12" s="11" t="n">
        <f aca="false">($L12/21.0975)*$B$6/1440</f>
        <v>0.00616490180919547</v>
      </c>
      <c r="G12" s="12" t="n">
        <f aca="false">(MIN(5,8)*$B$4*($L12/21.0975))/1440</f>
        <v>0.0397460204605601</v>
      </c>
      <c r="H12" s="12" t="n">
        <f aca="false">(MIN(10,8)*$B$4*($L12/21.0975)+MIN(10-8,2)*$B$5*($L12/21.0975))/1440</f>
        <v>0.0774183355057866</v>
      </c>
      <c r="I12" s="12" t="n">
        <f aca="false">(MIN(15,8)*$B$4*($L12/21.0975)+MIN(15-8,2)*$B$5*($L12/21.0975)+(15-10)*$B$6*($L12/21.0975))/1440</f>
        <v>0.108242844551764</v>
      </c>
      <c r="J12" s="12" t="n">
        <f aca="false">(MIN(20,8)*$B$4*($L12/21.0975)+MIN(20-8,2)*$B$5*($L12/21.0975)+(20-10)*$B$6*($L12/21.0975))/1440</f>
        <v>0.139067353597741</v>
      </c>
      <c r="K12" s="129" t="n">
        <f aca="false">TIME(7,0,0)+L12/1440</f>
        <v>0.4375</v>
      </c>
      <c r="L12" s="6" t="n">
        <v>210</v>
      </c>
    </row>
    <row r="13" customFormat="false" ht="15" hidden="false" customHeight="false" outlineLevel="0" collapsed="false">
      <c r="A13" s="5" t="s">
        <v>641</v>
      </c>
      <c r="B13" s="19" t="s">
        <v>642</v>
      </c>
      <c r="C13" s="11" t="n">
        <f aca="false">($L13/21.0975)/1440</f>
        <v>0.00740609076904847</v>
      </c>
      <c r="D13" s="11" t="n">
        <f aca="false">($L13/21.0975)*$B$4/1440</f>
        <v>0.00851700438440574</v>
      </c>
      <c r="E13" s="11" t="n">
        <f aca="false">($L13/21.0975)*$B$5/1440</f>
        <v>0.00740609076904847</v>
      </c>
      <c r="F13" s="11" t="n">
        <f aca="false">($L13/21.0975)*$B$6/1440</f>
        <v>0.00660525193842372</v>
      </c>
      <c r="G13" s="12" t="n">
        <f aca="false">(MIN(5,8)*$B$4*($L13/21.0975))/1440</f>
        <v>0.0425850219220287</v>
      </c>
      <c r="H13" s="12" t="n">
        <f aca="false">(MIN(10,8)*$B$4*($L13/21.0975)+MIN(10-8,2)*$B$5*($L13/21.0975))/1440</f>
        <v>0.0829482166133428</v>
      </c>
      <c r="I13" s="12" t="n">
        <f aca="false">(MIN(15,8)*$B$4*($L13/21.0975)+MIN(15-8,2)*$B$5*($L13/21.0975)+(15-10)*$B$6*($L13/21.0975))/1440</f>
        <v>0.115974476305461</v>
      </c>
      <c r="J13" s="12" t="n">
        <f aca="false">(MIN(20,8)*$B$4*($L13/21.0975)+MIN(20-8,2)*$B$5*($L13/21.0975)+(20-10)*$B$6*($L13/21.0975))/1440</f>
        <v>0.14900073599758</v>
      </c>
      <c r="K13" s="129" t="n">
        <f aca="false">TIME(7,0,0)+L13/1440</f>
        <v>0.447916666666667</v>
      </c>
      <c r="L13" s="6" t="n">
        <v>225</v>
      </c>
    </row>
    <row r="14" customFormat="false" ht="15" hidden="false" customHeight="false" outlineLevel="0" collapsed="false">
      <c r="A14" s="5" t="s">
        <v>643</v>
      </c>
      <c r="B14" s="19" t="s">
        <v>644</v>
      </c>
      <c r="C14" s="11" t="n">
        <f aca="false">($L14/21.0975)/1440</f>
        <v>0.0078998301536517</v>
      </c>
      <c r="D14" s="11" t="n">
        <f aca="false">($L14/21.0975)*$B$4/1440</f>
        <v>0.00908480467669945</v>
      </c>
      <c r="E14" s="11" t="n">
        <f aca="false">($L14/21.0975)*$B$5/1440</f>
        <v>0.0078998301536517</v>
      </c>
      <c r="F14" s="11" t="n">
        <f aca="false">($L14/21.0975)*$B$6/1440</f>
        <v>0.00704560206765196</v>
      </c>
      <c r="G14" s="12" t="n">
        <f aca="false">(MIN(5,8)*$B$4*($L14/21.0975))/1440</f>
        <v>0.0454240233834973</v>
      </c>
      <c r="H14" s="12" t="n">
        <f aca="false">(MIN(10,8)*$B$4*($L14/21.0975)+MIN(10-8,2)*$B$5*($L14/21.0975))/1440</f>
        <v>0.088478097720899</v>
      </c>
      <c r="I14" s="12" t="n">
        <f aca="false">(MIN(15,8)*$B$4*($L14/21.0975)+MIN(15-8,2)*$B$5*($L14/21.0975)+(15-10)*$B$6*($L14/21.0975))/1440</f>
        <v>0.123706108059159</v>
      </c>
      <c r="J14" s="12" t="n">
        <f aca="false">(MIN(20,8)*$B$4*($L14/21.0975)+MIN(20-8,2)*$B$5*($L14/21.0975)+(20-10)*$B$6*($L14/21.0975))/1440</f>
        <v>0.158934118397419</v>
      </c>
      <c r="K14" s="129" t="n">
        <f aca="false">TIME(7,0,0)+L14/1440</f>
        <v>0.458333333333333</v>
      </c>
      <c r="L14" s="6" t="n">
        <v>240</v>
      </c>
    </row>
    <row r="16" customFormat="false" ht="15" hidden="false" customHeight="false" outlineLevel="0" collapsed="false">
      <c r="A16" s="3" t="s">
        <v>645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5" t="s">
        <v>646</v>
      </c>
      <c r="B17" s="6" t="n">
        <v>45</v>
      </c>
    </row>
    <row r="18" customFormat="false" ht="15" hidden="false" customHeight="false" outlineLevel="0" collapsed="false">
      <c r="A18" s="5" t="s">
        <v>647</v>
      </c>
      <c r="B18" s="12" t="n">
        <f aca="false">B17*(21.0975/5)^1.06/1440</f>
        <v>0.143756229164268</v>
      </c>
    </row>
    <row r="19" customFormat="false" ht="15" hidden="false" customHeight="false" outlineLevel="0" collapsed="false">
      <c r="A19" s="5" t="s">
        <v>648</v>
      </c>
      <c r="B19" s="12" t="n">
        <f aca="false">B17*(21.0975/5)^1.06*B7/1440</f>
        <v>0.15525672749741</v>
      </c>
    </row>
    <row r="20" customFormat="false" ht="15" hidden="false" customHeight="false" outlineLevel="0" collapsed="false">
      <c r="A20" s="5" t="s">
        <v>649</v>
      </c>
      <c r="B20" s="19" t="str">
        <f aca="false">LOOKUP(B17,{0,36.01,40.01,43.01,47.01},{"3:00","3:15","3:30","3:45","Finish strong (4:00)"})</f>
        <v>3:45</v>
      </c>
    </row>
    <row r="22" customFormat="false" ht="15" hidden="false" customHeight="false" outlineLevel="0" collapsed="false">
      <c r="A22" s="3" t="s">
        <v>650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true" outlineLevel="0" collapsed="false">
      <c r="A23" s="19" t="s">
        <v>651</v>
      </c>
      <c r="B23" s="19" t="s">
        <v>652</v>
      </c>
      <c r="C23" s="19"/>
      <c r="D23" s="19"/>
      <c r="E23" s="19"/>
      <c r="F23" s="19"/>
      <c r="G23" s="19"/>
      <c r="H23" s="19"/>
      <c r="I23" s="19"/>
      <c r="J23" s="19"/>
      <c r="K23" s="19"/>
    </row>
    <row r="24" customFormat="false" ht="15" hidden="false" customHeight="true" outlineLevel="0" collapsed="false">
      <c r="A24" s="19" t="s">
        <v>653</v>
      </c>
      <c r="B24" s="19" t="s">
        <v>654</v>
      </c>
      <c r="C24" s="19"/>
      <c r="D24" s="19"/>
      <c r="E24" s="19"/>
      <c r="F24" s="19"/>
      <c r="G24" s="19"/>
      <c r="H24" s="19"/>
      <c r="I24" s="19"/>
      <c r="J24" s="19"/>
      <c r="K24" s="19"/>
    </row>
    <row r="25" customFormat="false" ht="15" hidden="false" customHeight="true" outlineLevel="0" collapsed="false">
      <c r="A25" s="19" t="s">
        <v>655</v>
      </c>
      <c r="B25" s="19" t="s">
        <v>656</v>
      </c>
      <c r="C25" s="19"/>
      <c r="D25" s="19"/>
      <c r="E25" s="19"/>
      <c r="F25" s="19"/>
      <c r="G25" s="19"/>
      <c r="H25" s="19"/>
      <c r="I25" s="19"/>
      <c r="J25" s="19"/>
      <c r="K25" s="19"/>
    </row>
    <row r="26" customFormat="false" ht="15" hidden="false" customHeight="true" outlineLevel="0" collapsed="false">
      <c r="A26" s="19" t="s">
        <v>657</v>
      </c>
      <c r="B26" s="19" t="s">
        <v>658</v>
      </c>
      <c r="C26" s="19"/>
      <c r="D26" s="19"/>
      <c r="E26" s="19"/>
      <c r="F26" s="19"/>
      <c r="G26" s="19"/>
      <c r="H26" s="19"/>
      <c r="I26" s="19"/>
      <c r="J26" s="19"/>
      <c r="K26" s="19"/>
    </row>
    <row r="27" customFormat="false" ht="15" hidden="false" customHeight="true" outlineLevel="0" collapsed="false">
      <c r="A27" s="19" t="s">
        <v>659</v>
      </c>
      <c r="B27" s="19" t="s">
        <v>660</v>
      </c>
      <c r="C27" s="19"/>
      <c r="D27" s="19"/>
      <c r="E27" s="19"/>
      <c r="F27" s="19"/>
      <c r="G27" s="19"/>
      <c r="H27" s="19"/>
      <c r="I27" s="19"/>
      <c r="J27" s="19"/>
      <c r="K27" s="19"/>
    </row>
    <row r="28" customFormat="false" ht="15" hidden="false" customHeight="true" outlineLevel="0" collapsed="false">
      <c r="A28" s="19" t="s">
        <v>661</v>
      </c>
      <c r="B28" s="19" t="s">
        <v>662</v>
      </c>
      <c r="C28" s="19"/>
      <c r="D28" s="19"/>
      <c r="E28" s="19"/>
      <c r="F28" s="19"/>
      <c r="G28" s="19"/>
      <c r="H28" s="19"/>
      <c r="I28" s="19"/>
      <c r="J28" s="19"/>
      <c r="K28" s="19"/>
    </row>
  </sheetData>
  <mergeCells count="6">
    <mergeCell ref="B23:K23"/>
    <mergeCell ref="B24:K24"/>
    <mergeCell ref="B25:K25"/>
    <mergeCell ref="B26:K26"/>
    <mergeCell ref="B27:K27"/>
    <mergeCell ref="B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2026-10-29T04:59:30Z</dcterms:created>
  <dc:creator>openpyxl</dc:creator>
  <dc:description/>
  <dc:language>en-US</dc:language>
  <cp:lastModifiedBy/>
  <dcterms:modified xsi:type="dcterms:W3CDTF">2026-10-29T07:59:32Z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